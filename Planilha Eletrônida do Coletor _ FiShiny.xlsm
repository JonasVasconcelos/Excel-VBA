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amsung\Desktop\Jonas\Github\Planilha Eletrônica do Coletor - FiShiny\"/>
    </mc:Choice>
  </mc:AlternateContent>
  <xr:revisionPtr revIDLastSave="0" documentId="13_ncr:1_{E5488834-E17A-4AEF-A171-6412C92E45B6}" xr6:coauthVersionLast="47" xr6:coauthVersionMax="47" xr10:uidLastSave="{00000000-0000-0000-0000-000000000000}"/>
  <bookViews>
    <workbookView xWindow="-120" yWindow="-120" windowWidth="20730" windowHeight="11760" tabRatio="840" activeTab="1" xr2:uid="{3E43E4CC-F113-453C-99DE-945DB7F7A3B7}"/>
  </bookViews>
  <sheets>
    <sheet name="Ficha de desembarque" sheetId="1" r:id="rId1"/>
    <sheet name="Novos cadastros" sheetId="8" r:id="rId2"/>
    <sheet name="Biometria" sheetId="3" r:id="rId3"/>
    <sheet name="Formatar_Desembarque" sheetId="4" r:id="rId4"/>
    <sheet name="Banco de dados" sheetId="9" r:id="rId5"/>
    <sheet name="Formatar_NovosCadastros" sheetId="10" r:id="rId6"/>
    <sheet name="Formatar_Biometria" sheetId="6" r:id="rId7"/>
    <sheet name="Exportar_Desembarque" sheetId="5" r:id="rId8"/>
    <sheet name="Exportar_Biometria" sheetId="7" r:id="rId9"/>
  </sheets>
  <definedNames>
    <definedName name="_xlnm._FilterDatabase" localSheetId="0" hidden="1">'Ficha de desembarque'!$AT$1:$AY$126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4" i="3" l="1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13" i="3"/>
  <c r="A12" i="3"/>
  <c r="C2" i="4" l="1"/>
  <c r="B2" i="4"/>
  <c r="A24" i="1"/>
  <c r="J24" i="1"/>
  <c r="J22" i="1"/>
  <c r="A22" i="1"/>
  <c r="G2" i="4" s="1"/>
  <c r="EL2" i="4" l="1"/>
  <c r="D2" i="4"/>
  <c r="A2" i="4"/>
  <c r="I2" i="4"/>
  <c r="H2" i="4"/>
  <c r="AT1" i="9"/>
  <c r="AM1" i="9"/>
  <c r="AF1" i="9"/>
  <c r="G1" i="9"/>
  <c r="C1" i="9"/>
  <c r="W1" i="9"/>
  <c r="S1" i="9"/>
  <c r="O1" i="9"/>
  <c r="K1" i="9"/>
  <c r="AB1" i="9"/>
  <c r="J12" i="1"/>
  <c r="EM2" i="4" s="1"/>
  <c r="BC1" i="9" l="1"/>
  <c r="G3" i="6"/>
  <c r="H3" i="6"/>
  <c r="I3" i="6"/>
  <c r="J3" i="6"/>
  <c r="K3" i="6"/>
  <c r="G4" i="6"/>
  <c r="H4" i="6"/>
  <c r="I4" i="6"/>
  <c r="J4" i="6"/>
  <c r="K4" i="6"/>
  <c r="G5" i="6"/>
  <c r="H5" i="6"/>
  <c r="I5" i="6"/>
  <c r="J5" i="6"/>
  <c r="K5" i="6"/>
  <c r="G6" i="6"/>
  <c r="H6" i="6"/>
  <c r="I6" i="6"/>
  <c r="J6" i="6"/>
  <c r="K6" i="6"/>
  <c r="G7" i="6"/>
  <c r="H7" i="6"/>
  <c r="I7" i="6"/>
  <c r="J7" i="6"/>
  <c r="K7" i="6"/>
  <c r="G8" i="6"/>
  <c r="H8" i="6"/>
  <c r="I8" i="6"/>
  <c r="J8" i="6"/>
  <c r="K8" i="6"/>
  <c r="G9" i="6"/>
  <c r="H9" i="6"/>
  <c r="I9" i="6"/>
  <c r="J9" i="6"/>
  <c r="K9" i="6"/>
  <c r="G10" i="6"/>
  <c r="H10" i="6"/>
  <c r="I10" i="6"/>
  <c r="J10" i="6"/>
  <c r="K10" i="6"/>
  <c r="G11" i="6"/>
  <c r="H11" i="6"/>
  <c r="I11" i="6"/>
  <c r="J11" i="6"/>
  <c r="K11" i="6"/>
  <c r="G12" i="6"/>
  <c r="H12" i="6"/>
  <c r="I12" i="6"/>
  <c r="J12" i="6"/>
  <c r="K12" i="6"/>
  <c r="G13" i="6"/>
  <c r="H13" i="6"/>
  <c r="I13" i="6"/>
  <c r="J13" i="6"/>
  <c r="K13" i="6"/>
  <c r="G14" i="6"/>
  <c r="H14" i="6"/>
  <c r="I14" i="6"/>
  <c r="J14" i="6"/>
  <c r="K14" i="6"/>
  <c r="G15" i="6"/>
  <c r="H15" i="6"/>
  <c r="I15" i="6"/>
  <c r="J15" i="6"/>
  <c r="K15" i="6"/>
  <c r="G16" i="6"/>
  <c r="H16" i="6"/>
  <c r="I16" i="6"/>
  <c r="J16" i="6"/>
  <c r="K16" i="6"/>
  <c r="G17" i="6"/>
  <c r="H17" i="6"/>
  <c r="I17" i="6"/>
  <c r="J17" i="6"/>
  <c r="K17" i="6"/>
  <c r="G18" i="6"/>
  <c r="H18" i="6"/>
  <c r="I18" i="6"/>
  <c r="J18" i="6"/>
  <c r="K18" i="6"/>
  <c r="G19" i="6"/>
  <c r="H19" i="6"/>
  <c r="I19" i="6"/>
  <c r="J19" i="6"/>
  <c r="K19" i="6"/>
  <c r="G20" i="6"/>
  <c r="H20" i="6"/>
  <c r="I20" i="6"/>
  <c r="J20" i="6"/>
  <c r="K20" i="6"/>
  <c r="G21" i="6"/>
  <c r="H21" i="6"/>
  <c r="I21" i="6"/>
  <c r="J21" i="6"/>
  <c r="K21" i="6"/>
  <c r="G22" i="6"/>
  <c r="H22" i="6"/>
  <c r="I22" i="6"/>
  <c r="J22" i="6"/>
  <c r="K22" i="6"/>
  <c r="G23" i="6"/>
  <c r="H23" i="6"/>
  <c r="I23" i="6"/>
  <c r="J23" i="6"/>
  <c r="K23" i="6"/>
  <c r="G24" i="6"/>
  <c r="H24" i="6"/>
  <c r="I24" i="6"/>
  <c r="J24" i="6"/>
  <c r="K24" i="6"/>
  <c r="G25" i="6"/>
  <c r="H25" i="6"/>
  <c r="I25" i="6"/>
  <c r="J25" i="6"/>
  <c r="K25" i="6"/>
  <c r="G26" i="6"/>
  <c r="H26" i="6"/>
  <c r="I26" i="6"/>
  <c r="J26" i="6"/>
  <c r="K26" i="6"/>
  <c r="G27" i="6"/>
  <c r="H27" i="6"/>
  <c r="I27" i="6"/>
  <c r="J27" i="6"/>
  <c r="K27" i="6"/>
  <c r="G28" i="6"/>
  <c r="H28" i="6"/>
  <c r="I28" i="6"/>
  <c r="J28" i="6"/>
  <c r="K28" i="6"/>
  <c r="G29" i="6"/>
  <c r="H29" i="6"/>
  <c r="I29" i="6"/>
  <c r="J29" i="6"/>
  <c r="K29" i="6"/>
  <c r="G30" i="6"/>
  <c r="H30" i="6"/>
  <c r="I30" i="6"/>
  <c r="J30" i="6"/>
  <c r="K30" i="6"/>
  <c r="G31" i="6"/>
  <c r="H31" i="6"/>
  <c r="I31" i="6"/>
  <c r="J31" i="6"/>
  <c r="K31" i="6"/>
  <c r="G32" i="6"/>
  <c r="H32" i="6"/>
  <c r="I32" i="6"/>
  <c r="J32" i="6"/>
  <c r="K32" i="6"/>
  <c r="G33" i="6"/>
  <c r="H33" i="6"/>
  <c r="I33" i="6"/>
  <c r="J33" i="6"/>
  <c r="K33" i="6"/>
  <c r="G34" i="6"/>
  <c r="H34" i="6"/>
  <c r="I34" i="6"/>
  <c r="J34" i="6"/>
  <c r="K34" i="6"/>
  <c r="G35" i="6"/>
  <c r="H35" i="6"/>
  <c r="I35" i="6"/>
  <c r="J35" i="6"/>
  <c r="K35" i="6"/>
  <c r="G36" i="6"/>
  <c r="H36" i="6"/>
  <c r="I36" i="6"/>
  <c r="J36" i="6"/>
  <c r="K36" i="6"/>
  <c r="G37" i="6"/>
  <c r="H37" i="6"/>
  <c r="I37" i="6"/>
  <c r="J37" i="6"/>
  <c r="K37" i="6"/>
  <c r="G38" i="6"/>
  <c r="H38" i="6"/>
  <c r="I38" i="6"/>
  <c r="J38" i="6"/>
  <c r="K38" i="6"/>
  <c r="G39" i="6"/>
  <c r="H39" i="6"/>
  <c r="I39" i="6"/>
  <c r="J39" i="6"/>
  <c r="K39" i="6"/>
  <c r="G40" i="6"/>
  <c r="H40" i="6"/>
  <c r="I40" i="6"/>
  <c r="J40" i="6"/>
  <c r="K40" i="6"/>
  <c r="G41" i="6"/>
  <c r="H41" i="6"/>
  <c r="I41" i="6"/>
  <c r="J41" i="6"/>
  <c r="K41" i="6"/>
  <c r="G42" i="6"/>
  <c r="H42" i="6"/>
  <c r="I42" i="6"/>
  <c r="J42" i="6"/>
  <c r="K42" i="6"/>
  <c r="G43" i="6"/>
  <c r="H43" i="6"/>
  <c r="I43" i="6"/>
  <c r="J43" i="6"/>
  <c r="K43" i="6"/>
  <c r="G44" i="6"/>
  <c r="H44" i="6"/>
  <c r="I44" i="6"/>
  <c r="J44" i="6"/>
  <c r="K44" i="6"/>
  <c r="G45" i="6"/>
  <c r="H45" i="6"/>
  <c r="I45" i="6"/>
  <c r="J45" i="6"/>
  <c r="K45" i="6"/>
  <c r="G46" i="6"/>
  <c r="H46" i="6"/>
  <c r="I46" i="6"/>
  <c r="J46" i="6"/>
  <c r="K46" i="6"/>
  <c r="G47" i="6"/>
  <c r="H47" i="6"/>
  <c r="I47" i="6"/>
  <c r="J47" i="6"/>
  <c r="K47" i="6"/>
  <c r="G48" i="6"/>
  <c r="H48" i="6"/>
  <c r="I48" i="6"/>
  <c r="J48" i="6"/>
  <c r="K48" i="6"/>
  <c r="G49" i="6"/>
  <c r="H49" i="6"/>
  <c r="I49" i="6"/>
  <c r="J49" i="6"/>
  <c r="K49" i="6"/>
  <c r="G50" i="6"/>
  <c r="H50" i="6"/>
  <c r="I50" i="6"/>
  <c r="J50" i="6"/>
  <c r="K50" i="6"/>
  <c r="G51" i="6"/>
  <c r="H51" i="6"/>
  <c r="I51" i="6"/>
  <c r="J51" i="6"/>
  <c r="K51" i="6"/>
  <c r="G52" i="6"/>
  <c r="H52" i="6"/>
  <c r="I52" i="6"/>
  <c r="J52" i="6"/>
  <c r="K52" i="6"/>
  <c r="G53" i="6"/>
  <c r="H53" i="6"/>
  <c r="I53" i="6"/>
  <c r="J53" i="6"/>
  <c r="K53" i="6"/>
  <c r="G54" i="6"/>
  <c r="H54" i="6"/>
  <c r="I54" i="6"/>
  <c r="J54" i="6"/>
  <c r="K54" i="6"/>
  <c r="G55" i="6"/>
  <c r="H55" i="6"/>
  <c r="I55" i="6"/>
  <c r="J55" i="6"/>
  <c r="K55" i="6"/>
  <c r="G56" i="6"/>
  <c r="H56" i="6"/>
  <c r="I56" i="6"/>
  <c r="J56" i="6"/>
  <c r="K56" i="6"/>
  <c r="G57" i="6"/>
  <c r="H57" i="6"/>
  <c r="I57" i="6"/>
  <c r="J57" i="6"/>
  <c r="K57" i="6"/>
  <c r="G58" i="6"/>
  <c r="H58" i="6"/>
  <c r="I58" i="6"/>
  <c r="J58" i="6"/>
  <c r="K58" i="6"/>
  <c r="G59" i="6"/>
  <c r="H59" i="6"/>
  <c r="I59" i="6"/>
  <c r="J59" i="6"/>
  <c r="K59" i="6"/>
  <c r="G60" i="6"/>
  <c r="H60" i="6"/>
  <c r="I60" i="6"/>
  <c r="J60" i="6"/>
  <c r="K60" i="6"/>
  <c r="G61" i="6"/>
  <c r="H61" i="6"/>
  <c r="I61" i="6"/>
  <c r="J61" i="6"/>
  <c r="K61" i="6"/>
  <c r="G62" i="6"/>
  <c r="H62" i="6"/>
  <c r="I62" i="6"/>
  <c r="J62" i="6"/>
  <c r="K62" i="6"/>
  <c r="G63" i="6"/>
  <c r="H63" i="6"/>
  <c r="I63" i="6"/>
  <c r="J63" i="6"/>
  <c r="K63" i="6"/>
  <c r="G64" i="6"/>
  <c r="H64" i="6"/>
  <c r="I64" i="6"/>
  <c r="J64" i="6"/>
  <c r="K64" i="6"/>
  <c r="G65" i="6"/>
  <c r="H65" i="6"/>
  <c r="I65" i="6"/>
  <c r="J65" i="6"/>
  <c r="K65" i="6"/>
  <c r="G66" i="6"/>
  <c r="H66" i="6"/>
  <c r="I66" i="6"/>
  <c r="J66" i="6"/>
  <c r="K66" i="6"/>
  <c r="G67" i="6"/>
  <c r="H67" i="6"/>
  <c r="I67" i="6"/>
  <c r="J67" i="6"/>
  <c r="K67" i="6"/>
  <c r="G68" i="6"/>
  <c r="H68" i="6"/>
  <c r="I68" i="6"/>
  <c r="J68" i="6"/>
  <c r="K68" i="6"/>
  <c r="G69" i="6"/>
  <c r="H69" i="6"/>
  <c r="I69" i="6"/>
  <c r="J69" i="6"/>
  <c r="K69" i="6"/>
  <c r="G70" i="6"/>
  <c r="H70" i="6"/>
  <c r="I70" i="6"/>
  <c r="J70" i="6"/>
  <c r="K70" i="6"/>
  <c r="G71" i="6"/>
  <c r="H71" i="6"/>
  <c r="I71" i="6"/>
  <c r="J71" i="6"/>
  <c r="K71" i="6"/>
  <c r="G72" i="6"/>
  <c r="H72" i="6"/>
  <c r="I72" i="6"/>
  <c r="J72" i="6"/>
  <c r="K72" i="6"/>
  <c r="G73" i="6"/>
  <c r="H73" i="6"/>
  <c r="I73" i="6"/>
  <c r="J73" i="6"/>
  <c r="K73" i="6"/>
  <c r="G74" i="6"/>
  <c r="H74" i="6"/>
  <c r="I74" i="6"/>
  <c r="J74" i="6"/>
  <c r="K74" i="6"/>
  <c r="G75" i="6"/>
  <c r="H75" i="6"/>
  <c r="I75" i="6"/>
  <c r="J75" i="6"/>
  <c r="K75" i="6"/>
  <c r="G76" i="6"/>
  <c r="H76" i="6"/>
  <c r="I76" i="6"/>
  <c r="J76" i="6"/>
  <c r="K76" i="6"/>
  <c r="G77" i="6"/>
  <c r="H77" i="6"/>
  <c r="I77" i="6"/>
  <c r="J77" i="6"/>
  <c r="K77" i="6"/>
  <c r="G78" i="6"/>
  <c r="H78" i="6"/>
  <c r="I78" i="6"/>
  <c r="J78" i="6"/>
  <c r="K78" i="6"/>
  <c r="G79" i="6"/>
  <c r="H79" i="6"/>
  <c r="I79" i="6"/>
  <c r="J79" i="6"/>
  <c r="K79" i="6"/>
  <c r="G80" i="6"/>
  <c r="H80" i="6"/>
  <c r="I80" i="6"/>
  <c r="J80" i="6"/>
  <c r="K80" i="6"/>
  <c r="G81" i="6"/>
  <c r="H81" i="6"/>
  <c r="I81" i="6"/>
  <c r="J81" i="6"/>
  <c r="K81" i="6"/>
  <c r="G82" i="6"/>
  <c r="H82" i="6"/>
  <c r="I82" i="6"/>
  <c r="J82" i="6"/>
  <c r="K82" i="6"/>
  <c r="G83" i="6"/>
  <c r="H83" i="6"/>
  <c r="I83" i="6"/>
  <c r="J83" i="6"/>
  <c r="K83" i="6"/>
  <c r="G84" i="6"/>
  <c r="H84" i="6"/>
  <c r="I84" i="6"/>
  <c r="J84" i="6"/>
  <c r="K84" i="6"/>
  <c r="G85" i="6"/>
  <c r="H85" i="6"/>
  <c r="I85" i="6"/>
  <c r="J85" i="6"/>
  <c r="K85" i="6"/>
  <c r="G86" i="6"/>
  <c r="H86" i="6"/>
  <c r="I86" i="6"/>
  <c r="J86" i="6"/>
  <c r="K86" i="6"/>
  <c r="G87" i="6"/>
  <c r="H87" i="6"/>
  <c r="I87" i="6"/>
  <c r="J87" i="6"/>
  <c r="K87" i="6"/>
  <c r="G88" i="6"/>
  <c r="H88" i="6"/>
  <c r="I88" i="6"/>
  <c r="J88" i="6"/>
  <c r="K88" i="6"/>
  <c r="G89" i="6"/>
  <c r="H89" i="6"/>
  <c r="I89" i="6"/>
  <c r="J89" i="6"/>
  <c r="K89" i="6"/>
  <c r="G90" i="6"/>
  <c r="H90" i="6"/>
  <c r="I90" i="6"/>
  <c r="J90" i="6"/>
  <c r="K90" i="6"/>
  <c r="G91" i="6"/>
  <c r="H91" i="6"/>
  <c r="I91" i="6"/>
  <c r="J91" i="6"/>
  <c r="K91" i="6"/>
  <c r="G92" i="6"/>
  <c r="H92" i="6"/>
  <c r="I92" i="6"/>
  <c r="J92" i="6"/>
  <c r="K92" i="6"/>
  <c r="G93" i="6"/>
  <c r="H93" i="6"/>
  <c r="I93" i="6"/>
  <c r="J93" i="6"/>
  <c r="K93" i="6"/>
  <c r="G94" i="6"/>
  <c r="H94" i="6"/>
  <c r="I94" i="6"/>
  <c r="J94" i="6"/>
  <c r="K94" i="6"/>
  <c r="G95" i="6"/>
  <c r="H95" i="6"/>
  <c r="I95" i="6"/>
  <c r="J95" i="6"/>
  <c r="K95" i="6"/>
  <c r="G96" i="6"/>
  <c r="H96" i="6"/>
  <c r="I96" i="6"/>
  <c r="J96" i="6"/>
  <c r="K96" i="6"/>
  <c r="G97" i="6"/>
  <c r="H97" i="6"/>
  <c r="I97" i="6"/>
  <c r="J97" i="6"/>
  <c r="K97" i="6"/>
  <c r="G98" i="6"/>
  <c r="H98" i="6"/>
  <c r="I98" i="6"/>
  <c r="J98" i="6"/>
  <c r="K98" i="6"/>
  <c r="G99" i="6"/>
  <c r="H99" i="6"/>
  <c r="I99" i="6"/>
  <c r="J99" i="6"/>
  <c r="K99" i="6"/>
  <c r="G100" i="6"/>
  <c r="H100" i="6"/>
  <c r="I100" i="6"/>
  <c r="J100" i="6"/>
  <c r="K100" i="6"/>
  <c r="G101" i="6"/>
  <c r="H101" i="6"/>
  <c r="I101" i="6"/>
  <c r="J101" i="6"/>
  <c r="K101" i="6"/>
  <c r="G102" i="6"/>
  <c r="H102" i="6"/>
  <c r="I102" i="6"/>
  <c r="J102" i="6"/>
  <c r="K102" i="6"/>
  <c r="G103" i="6"/>
  <c r="H103" i="6"/>
  <c r="I103" i="6"/>
  <c r="J103" i="6"/>
  <c r="K103" i="6"/>
  <c r="G104" i="6"/>
  <c r="H104" i="6"/>
  <c r="I104" i="6"/>
  <c r="J104" i="6"/>
  <c r="K104" i="6"/>
  <c r="G105" i="6"/>
  <c r="H105" i="6"/>
  <c r="I105" i="6"/>
  <c r="J105" i="6"/>
  <c r="K105" i="6"/>
  <c r="G106" i="6"/>
  <c r="H106" i="6"/>
  <c r="I106" i="6"/>
  <c r="J106" i="6"/>
  <c r="K106" i="6"/>
  <c r="G107" i="6"/>
  <c r="H107" i="6"/>
  <c r="I107" i="6"/>
  <c r="J107" i="6"/>
  <c r="K107" i="6"/>
  <c r="G108" i="6"/>
  <c r="H108" i="6"/>
  <c r="I108" i="6"/>
  <c r="J108" i="6"/>
  <c r="K108" i="6"/>
  <c r="G109" i="6"/>
  <c r="H109" i="6"/>
  <c r="I109" i="6"/>
  <c r="J109" i="6"/>
  <c r="K109" i="6"/>
  <c r="G110" i="6"/>
  <c r="H110" i="6"/>
  <c r="I110" i="6"/>
  <c r="J110" i="6"/>
  <c r="K110" i="6"/>
  <c r="G111" i="6"/>
  <c r="H111" i="6"/>
  <c r="I111" i="6"/>
  <c r="J111" i="6"/>
  <c r="K111" i="6"/>
  <c r="G112" i="6"/>
  <c r="H112" i="6"/>
  <c r="I112" i="6"/>
  <c r="J112" i="6"/>
  <c r="K112" i="6"/>
  <c r="G113" i="6"/>
  <c r="H113" i="6"/>
  <c r="I113" i="6"/>
  <c r="J113" i="6"/>
  <c r="K113" i="6"/>
  <c r="G114" i="6"/>
  <c r="H114" i="6"/>
  <c r="I114" i="6"/>
  <c r="J114" i="6"/>
  <c r="K114" i="6"/>
  <c r="G115" i="6"/>
  <c r="H115" i="6"/>
  <c r="I115" i="6"/>
  <c r="J115" i="6"/>
  <c r="K115" i="6"/>
  <c r="G116" i="6"/>
  <c r="H116" i="6"/>
  <c r="I116" i="6"/>
  <c r="J116" i="6"/>
  <c r="K116" i="6"/>
  <c r="G117" i="6"/>
  <c r="H117" i="6"/>
  <c r="I117" i="6"/>
  <c r="J117" i="6"/>
  <c r="K117" i="6"/>
  <c r="G118" i="6"/>
  <c r="H118" i="6"/>
  <c r="I118" i="6"/>
  <c r="J118" i="6"/>
  <c r="K118" i="6"/>
  <c r="G119" i="6"/>
  <c r="H119" i="6"/>
  <c r="I119" i="6"/>
  <c r="J119" i="6"/>
  <c r="K119" i="6"/>
  <c r="G120" i="6"/>
  <c r="H120" i="6"/>
  <c r="I120" i="6"/>
  <c r="J120" i="6"/>
  <c r="K120" i="6"/>
  <c r="G121" i="6"/>
  <c r="H121" i="6"/>
  <c r="I121" i="6"/>
  <c r="J121" i="6"/>
  <c r="K121" i="6"/>
  <c r="G122" i="6"/>
  <c r="H122" i="6"/>
  <c r="I122" i="6"/>
  <c r="J122" i="6"/>
  <c r="K122" i="6"/>
  <c r="G123" i="6"/>
  <c r="H123" i="6"/>
  <c r="I123" i="6"/>
  <c r="J123" i="6"/>
  <c r="K123" i="6"/>
  <c r="G124" i="6"/>
  <c r="H124" i="6"/>
  <c r="I124" i="6"/>
  <c r="J124" i="6"/>
  <c r="K124" i="6"/>
  <c r="G125" i="6"/>
  <c r="H125" i="6"/>
  <c r="I125" i="6"/>
  <c r="J125" i="6"/>
  <c r="K125" i="6"/>
  <c r="G126" i="6"/>
  <c r="H126" i="6"/>
  <c r="I126" i="6"/>
  <c r="J126" i="6"/>
  <c r="K126" i="6"/>
  <c r="G127" i="6"/>
  <c r="H127" i="6"/>
  <c r="I127" i="6"/>
  <c r="J127" i="6"/>
  <c r="K127" i="6"/>
  <c r="G128" i="6"/>
  <c r="H128" i="6"/>
  <c r="I128" i="6"/>
  <c r="J128" i="6"/>
  <c r="K128" i="6"/>
  <c r="G129" i="6"/>
  <c r="H129" i="6"/>
  <c r="I129" i="6"/>
  <c r="J129" i="6"/>
  <c r="K129" i="6"/>
  <c r="G130" i="6"/>
  <c r="H130" i="6"/>
  <c r="I130" i="6"/>
  <c r="J130" i="6"/>
  <c r="K130" i="6"/>
  <c r="G131" i="6"/>
  <c r="H131" i="6"/>
  <c r="I131" i="6"/>
  <c r="J131" i="6"/>
  <c r="K131" i="6"/>
  <c r="G132" i="6"/>
  <c r="H132" i="6"/>
  <c r="I132" i="6"/>
  <c r="J132" i="6"/>
  <c r="K132" i="6"/>
  <c r="G133" i="6"/>
  <c r="H133" i="6"/>
  <c r="I133" i="6"/>
  <c r="J133" i="6"/>
  <c r="K133" i="6"/>
  <c r="G134" i="6"/>
  <c r="H134" i="6"/>
  <c r="I134" i="6"/>
  <c r="J134" i="6"/>
  <c r="K134" i="6"/>
  <c r="G135" i="6"/>
  <c r="H135" i="6"/>
  <c r="I135" i="6"/>
  <c r="J135" i="6"/>
  <c r="K135" i="6"/>
  <c r="G136" i="6"/>
  <c r="H136" i="6"/>
  <c r="I136" i="6"/>
  <c r="J136" i="6"/>
  <c r="K136" i="6"/>
  <c r="G137" i="6"/>
  <c r="H137" i="6"/>
  <c r="I137" i="6"/>
  <c r="J137" i="6"/>
  <c r="K137" i="6"/>
  <c r="G138" i="6"/>
  <c r="H138" i="6"/>
  <c r="I138" i="6"/>
  <c r="J138" i="6"/>
  <c r="K138" i="6"/>
  <c r="G139" i="6"/>
  <c r="H139" i="6"/>
  <c r="I139" i="6"/>
  <c r="J139" i="6"/>
  <c r="K139" i="6"/>
  <c r="G140" i="6"/>
  <c r="H140" i="6"/>
  <c r="I140" i="6"/>
  <c r="J140" i="6"/>
  <c r="K140" i="6"/>
  <c r="G141" i="6"/>
  <c r="H141" i="6"/>
  <c r="I141" i="6"/>
  <c r="J141" i="6"/>
  <c r="K141" i="6"/>
  <c r="G142" i="6"/>
  <c r="H142" i="6"/>
  <c r="I142" i="6"/>
  <c r="J142" i="6"/>
  <c r="K142" i="6"/>
  <c r="G143" i="6"/>
  <c r="H143" i="6"/>
  <c r="I143" i="6"/>
  <c r="J143" i="6"/>
  <c r="K143" i="6"/>
  <c r="G144" i="6"/>
  <c r="H144" i="6"/>
  <c r="I144" i="6"/>
  <c r="J144" i="6"/>
  <c r="K144" i="6"/>
  <c r="G145" i="6"/>
  <c r="H145" i="6"/>
  <c r="I145" i="6"/>
  <c r="J145" i="6"/>
  <c r="K145" i="6"/>
  <c r="G146" i="6"/>
  <c r="H146" i="6"/>
  <c r="I146" i="6"/>
  <c r="J146" i="6"/>
  <c r="K146" i="6"/>
  <c r="G147" i="6"/>
  <c r="H147" i="6"/>
  <c r="I147" i="6"/>
  <c r="J147" i="6"/>
  <c r="K147" i="6"/>
  <c r="G148" i="6"/>
  <c r="H148" i="6"/>
  <c r="I148" i="6"/>
  <c r="J148" i="6"/>
  <c r="K148" i="6"/>
  <c r="G149" i="6"/>
  <c r="H149" i="6"/>
  <c r="I149" i="6"/>
  <c r="J149" i="6"/>
  <c r="K149" i="6"/>
  <c r="G150" i="6"/>
  <c r="H150" i="6"/>
  <c r="I150" i="6"/>
  <c r="J150" i="6"/>
  <c r="K150" i="6"/>
  <c r="G151" i="6"/>
  <c r="H151" i="6"/>
  <c r="I151" i="6"/>
  <c r="J151" i="6"/>
  <c r="K151" i="6"/>
  <c r="G152" i="6"/>
  <c r="H152" i="6"/>
  <c r="I152" i="6"/>
  <c r="J152" i="6"/>
  <c r="K152" i="6"/>
  <c r="G153" i="6"/>
  <c r="H153" i="6"/>
  <c r="I153" i="6"/>
  <c r="J153" i="6"/>
  <c r="K153" i="6"/>
  <c r="G154" i="6"/>
  <c r="H154" i="6"/>
  <c r="I154" i="6"/>
  <c r="J154" i="6"/>
  <c r="K154" i="6"/>
  <c r="G155" i="6"/>
  <c r="H155" i="6"/>
  <c r="I155" i="6"/>
  <c r="J155" i="6"/>
  <c r="K155" i="6"/>
  <c r="G156" i="6"/>
  <c r="H156" i="6"/>
  <c r="I156" i="6"/>
  <c r="J156" i="6"/>
  <c r="K156" i="6"/>
  <c r="G157" i="6"/>
  <c r="H157" i="6"/>
  <c r="I157" i="6"/>
  <c r="J157" i="6"/>
  <c r="K157" i="6"/>
  <c r="G158" i="6"/>
  <c r="H158" i="6"/>
  <c r="I158" i="6"/>
  <c r="J158" i="6"/>
  <c r="K158" i="6"/>
  <c r="G159" i="6"/>
  <c r="H159" i="6"/>
  <c r="I159" i="6"/>
  <c r="J159" i="6"/>
  <c r="K159" i="6"/>
  <c r="G160" i="6"/>
  <c r="H160" i="6"/>
  <c r="I160" i="6"/>
  <c r="J160" i="6"/>
  <c r="K160" i="6"/>
  <c r="G161" i="6"/>
  <c r="H161" i="6"/>
  <c r="I161" i="6"/>
  <c r="J161" i="6"/>
  <c r="K161" i="6"/>
  <c r="G162" i="6"/>
  <c r="H162" i="6"/>
  <c r="I162" i="6"/>
  <c r="J162" i="6"/>
  <c r="K162" i="6"/>
  <c r="G163" i="6"/>
  <c r="H163" i="6"/>
  <c r="I163" i="6"/>
  <c r="J163" i="6"/>
  <c r="K163" i="6"/>
  <c r="G164" i="6"/>
  <c r="H164" i="6"/>
  <c r="I164" i="6"/>
  <c r="J164" i="6"/>
  <c r="K164" i="6"/>
  <c r="G165" i="6"/>
  <c r="H165" i="6"/>
  <c r="I165" i="6"/>
  <c r="J165" i="6"/>
  <c r="K165" i="6"/>
  <c r="G166" i="6"/>
  <c r="H166" i="6"/>
  <c r="I166" i="6"/>
  <c r="J166" i="6"/>
  <c r="K166" i="6"/>
  <c r="G167" i="6"/>
  <c r="H167" i="6"/>
  <c r="I167" i="6"/>
  <c r="J167" i="6"/>
  <c r="K167" i="6"/>
  <c r="G168" i="6"/>
  <c r="H168" i="6"/>
  <c r="I168" i="6"/>
  <c r="J168" i="6"/>
  <c r="K168" i="6"/>
  <c r="G169" i="6"/>
  <c r="H169" i="6"/>
  <c r="I169" i="6"/>
  <c r="J169" i="6"/>
  <c r="K169" i="6"/>
  <c r="G170" i="6"/>
  <c r="H170" i="6"/>
  <c r="I170" i="6"/>
  <c r="J170" i="6"/>
  <c r="K170" i="6"/>
  <c r="G171" i="6"/>
  <c r="H171" i="6"/>
  <c r="I171" i="6"/>
  <c r="J171" i="6"/>
  <c r="K171" i="6"/>
  <c r="G172" i="6"/>
  <c r="H172" i="6"/>
  <c r="I172" i="6"/>
  <c r="J172" i="6"/>
  <c r="K172" i="6"/>
  <c r="G173" i="6"/>
  <c r="H173" i="6"/>
  <c r="I173" i="6"/>
  <c r="J173" i="6"/>
  <c r="K173" i="6"/>
  <c r="G174" i="6"/>
  <c r="H174" i="6"/>
  <c r="I174" i="6"/>
  <c r="J174" i="6"/>
  <c r="K174" i="6"/>
  <c r="G175" i="6"/>
  <c r="H175" i="6"/>
  <c r="I175" i="6"/>
  <c r="J175" i="6"/>
  <c r="K175" i="6"/>
  <c r="G176" i="6"/>
  <c r="H176" i="6"/>
  <c r="I176" i="6"/>
  <c r="J176" i="6"/>
  <c r="K176" i="6"/>
  <c r="G177" i="6"/>
  <c r="H177" i="6"/>
  <c r="I177" i="6"/>
  <c r="J177" i="6"/>
  <c r="K177" i="6"/>
  <c r="G178" i="6"/>
  <c r="H178" i="6"/>
  <c r="I178" i="6"/>
  <c r="J178" i="6"/>
  <c r="K178" i="6"/>
  <c r="G179" i="6"/>
  <c r="H179" i="6"/>
  <c r="I179" i="6"/>
  <c r="J179" i="6"/>
  <c r="K179" i="6"/>
  <c r="G180" i="6"/>
  <c r="H180" i="6"/>
  <c r="I180" i="6"/>
  <c r="J180" i="6"/>
  <c r="K180" i="6"/>
  <c r="G181" i="6"/>
  <c r="H181" i="6"/>
  <c r="I181" i="6"/>
  <c r="J181" i="6"/>
  <c r="K181" i="6"/>
  <c r="G182" i="6"/>
  <c r="H182" i="6"/>
  <c r="I182" i="6"/>
  <c r="J182" i="6"/>
  <c r="K182" i="6"/>
  <c r="G183" i="6"/>
  <c r="H183" i="6"/>
  <c r="I183" i="6"/>
  <c r="J183" i="6"/>
  <c r="K183" i="6"/>
  <c r="G184" i="6"/>
  <c r="H184" i="6"/>
  <c r="I184" i="6"/>
  <c r="J184" i="6"/>
  <c r="K184" i="6"/>
  <c r="G185" i="6"/>
  <c r="H185" i="6"/>
  <c r="I185" i="6"/>
  <c r="J185" i="6"/>
  <c r="K185" i="6"/>
  <c r="G186" i="6"/>
  <c r="H186" i="6"/>
  <c r="I186" i="6"/>
  <c r="J186" i="6"/>
  <c r="K186" i="6"/>
  <c r="G187" i="6"/>
  <c r="H187" i="6"/>
  <c r="I187" i="6"/>
  <c r="J187" i="6"/>
  <c r="K187" i="6"/>
  <c r="G188" i="6"/>
  <c r="H188" i="6"/>
  <c r="I188" i="6"/>
  <c r="J188" i="6"/>
  <c r="K188" i="6"/>
  <c r="G189" i="6"/>
  <c r="H189" i="6"/>
  <c r="I189" i="6"/>
  <c r="J189" i="6"/>
  <c r="K189" i="6"/>
  <c r="G190" i="6"/>
  <c r="H190" i="6"/>
  <c r="I190" i="6"/>
  <c r="J190" i="6"/>
  <c r="K190" i="6"/>
  <c r="G191" i="6"/>
  <c r="H191" i="6"/>
  <c r="I191" i="6"/>
  <c r="J191" i="6"/>
  <c r="K191" i="6"/>
  <c r="G192" i="6"/>
  <c r="H192" i="6"/>
  <c r="I192" i="6"/>
  <c r="J192" i="6"/>
  <c r="K192" i="6"/>
  <c r="G193" i="6"/>
  <c r="H193" i="6"/>
  <c r="I193" i="6"/>
  <c r="J193" i="6"/>
  <c r="K193" i="6"/>
  <c r="G194" i="6"/>
  <c r="H194" i="6"/>
  <c r="I194" i="6"/>
  <c r="J194" i="6"/>
  <c r="K194" i="6"/>
  <c r="G195" i="6"/>
  <c r="H195" i="6"/>
  <c r="I195" i="6"/>
  <c r="J195" i="6"/>
  <c r="K195" i="6"/>
  <c r="G196" i="6"/>
  <c r="H196" i="6"/>
  <c r="I196" i="6"/>
  <c r="J196" i="6"/>
  <c r="K196" i="6"/>
  <c r="G197" i="6"/>
  <c r="H197" i="6"/>
  <c r="I197" i="6"/>
  <c r="J197" i="6"/>
  <c r="K197" i="6"/>
  <c r="G198" i="6"/>
  <c r="H198" i="6"/>
  <c r="I198" i="6"/>
  <c r="J198" i="6"/>
  <c r="K198" i="6"/>
  <c r="G199" i="6"/>
  <c r="H199" i="6"/>
  <c r="I199" i="6"/>
  <c r="J199" i="6"/>
  <c r="K199" i="6"/>
  <c r="G200" i="6"/>
  <c r="H200" i="6"/>
  <c r="I200" i="6"/>
  <c r="J200" i="6"/>
  <c r="K200" i="6"/>
  <c r="G201" i="6"/>
  <c r="H201" i="6"/>
  <c r="I201" i="6"/>
  <c r="J201" i="6"/>
  <c r="K201" i="6"/>
  <c r="G202" i="6"/>
  <c r="H202" i="6"/>
  <c r="I202" i="6"/>
  <c r="J202" i="6"/>
  <c r="K202" i="6"/>
  <c r="G203" i="6"/>
  <c r="H203" i="6"/>
  <c r="I203" i="6"/>
  <c r="J203" i="6"/>
  <c r="K203" i="6"/>
  <c r="G204" i="6"/>
  <c r="H204" i="6"/>
  <c r="I204" i="6"/>
  <c r="J204" i="6"/>
  <c r="K204" i="6"/>
  <c r="G205" i="6"/>
  <c r="H205" i="6"/>
  <c r="I205" i="6"/>
  <c r="J205" i="6"/>
  <c r="K205" i="6"/>
  <c r="G206" i="6"/>
  <c r="H206" i="6"/>
  <c r="I206" i="6"/>
  <c r="J206" i="6"/>
  <c r="K206" i="6"/>
  <c r="G207" i="6"/>
  <c r="H207" i="6"/>
  <c r="I207" i="6"/>
  <c r="J207" i="6"/>
  <c r="K207" i="6"/>
  <c r="G208" i="6"/>
  <c r="H208" i="6"/>
  <c r="I208" i="6"/>
  <c r="J208" i="6"/>
  <c r="K208" i="6"/>
  <c r="G209" i="6"/>
  <c r="H209" i="6"/>
  <c r="I209" i="6"/>
  <c r="J209" i="6"/>
  <c r="K209" i="6"/>
  <c r="G210" i="6"/>
  <c r="H210" i="6"/>
  <c r="I210" i="6"/>
  <c r="J210" i="6"/>
  <c r="K210" i="6"/>
  <c r="G211" i="6"/>
  <c r="H211" i="6"/>
  <c r="I211" i="6"/>
  <c r="J211" i="6"/>
  <c r="K211" i="6"/>
  <c r="G212" i="6"/>
  <c r="H212" i="6"/>
  <c r="I212" i="6"/>
  <c r="J212" i="6"/>
  <c r="K212" i="6"/>
  <c r="G213" i="6"/>
  <c r="H213" i="6"/>
  <c r="I213" i="6"/>
  <c r="J213" i="6"/>
  <c r="K213" i="6"/>
  <c r="G214" i="6"/>
  <c r="H214" i="6"/>
  <c r="I214" i="6"/>
  <c r="J214" i="6"/>
  <c r="K214" i="6"/>
  <c r="G215" i="6"/>
  <c r="H215" i="6"/>
  <c r="I215" i="6"/>
  <c r="J215" i="6"/>
  <c r="K215" i="6"/>
  <c r="G216" i="6"/>
  <c r="H216" i="6"/>
  <c r="I216" i="6"/>
  <c r="J216" i="6"/>
  <c r="K216" i="6"/>
  <c r="G217" i="6"/>
  <c r="H217" i="6"/>
  <c r="I217" i="6"/>
  <c r="J217" i="6"/>
  <c r="K217" i="6"/>
  <c r="G218" i="6"/>
  <c r="H218" i="6"/>
  <c r="I218" i="6"/>
  <c r="J218" i="6"/>
  <c r="K218" i="6"/>
  <c r="G219" i="6"/>
  <c r="H219" i="6"/>
  <c r="I219" i="6"/>
  <c r="J219" i="6"/>
  <c r="K219" i="6"/>
  <c r="G220" i="6"/>
  <c r="H220" i="6"/>
  <c r="I220" i="6"/>
  <c r="J220" i="6"/>
  <c r="K220" i="6"/>
  <c r="G221" i="6"/>
  <c r="H221" i="6"/>
  <c r="I221" i="6"/>
  <c r="J221" i="6"/>
  <c r="K221" i="6"/>
  <c r="G222" i="6"/>
  <c r="H222" i="6"/>
  <c r="I222" i="6"/>
  <c r="J222" i="6"/>
  <c r="K222" i="6"/>
  <c r="G223" i="6"/>
  <c r="H223" i="6"/>
  <c r="I223" i="6"/>
  <c r="J223" i="6"/>
  <c r="K223" i="6"/>
  <c r="G224" i="6"/>
  <c r="H224" i="6"/>
  <c r="I224" i="6"/>
  <c r="J224" i="6"/>
  <c r="K224" i="6"/>
  <c r="G225" i="6"/>
  <c r="H225" i="6"/>
  <c r="I225" i="6"/>
  <c r="J225" i="6"/>
  <c r="K225" i="6"/>
  <c r="G226" i="6"/>
  <c r="H226" i="6"/>
  <c r="I226" i="6"/>
  <c r="J226" i="6"/>
  <c r="K226" i="6"/>
  <c r="G227" i="6"/>
  <c r="H227" i="6"/>
  <c r="I227" i="6"/>
  <c r="J227" i="6"/>
  <c r="K227" i="6"/>
  <c r="G228" i="6"/>
  <c r="H228" i="6"/>
  <c r="I228" i="6"/>
  <c r="J228" i="6"/>
  <c r="K228" i="6"/>
  <c r="G229" i="6"/>
  <c r="H229" i="6"/>
  <c r="I229" i="6"/>
  <c r="J229" i="6"/>
  <c r="K229" i="6"/>
  <c r="G230" i="6"/>
  <c r="H230" i="6"/>
  <c r="I230" i="6"/>
  <c r="J230" i="6"/>
  <c r="K230" i="6"/>
  <c r="G231" i="6"/>
  <c r="H231" i="6"/>
  <c r="I231" i="6"/>
  <c r="J231" i="6"/>
  <c r="K231" i="6"/>
  <c r="G232" i="6"/>
  <c r="H232" i="6"/>
  <c r="I232" i="6"/>
  <c r="J232" i="6"/>
  <c r="K232" i="6"/>
  <c r="G233" i="6"/>
  <c r="H233" i="6"/>
  <c r="I233" i="6"/>
  <c r="J233" i="6"/>
  <c r="K233" i="6"/>
  <c r="G234" i="6"/>
  <c r="H234" i="6"/>
  <c r="I234" i="6"/>
  <c r="J234" i="6"/>
  <c r="K234" i="6"/>
  <c r="G235" i="6"/>
  <c r="H235" i="6"/>
  <c r="I235" i="6"/>
  <c r="J235" i="6"/>
  <c r="K235" i="6"/>
  <c r="G236" i="6"/>
  <c r="H236" i="6"/>
  <c r="I236" i="6"/>
  <c r="J236" i="6"/>
  <c r="K236" i="6"/>
  <c r="G237" i="6"/>
  <c r="H237" i="6"/>
  <c r="I237" i="6"/>
  <c r="J237" i="6"/>
  <c r="K237" i="6"/>
  <c r="G238" i="6"/>
  <c r="H238" i="6"/>
  <c r="I238" i="6"/>
  <c r="J238" i="6"/>
  <c r="K238" i="6"/>
  <c r="G239" i="6"/>
  <c r="H239" i="6"/>
  <c r="I239" i="6"/>
  <c r="J239" i="6"/>
  <c r="K239" i="6"/>
  <c r="G240" i="6"/>
  <c r="H240" i="6"/>
  <c r="I240" i="6"/>
  <c r="J240" i="6"/>
  <c r="K240" i="6"/>
  <c r="G241" i="6"/>
  <c r="H241" i="6"/>
  <c r="I241" i="6"/>
  <c r="J241" i="6"/>
  <c r="K241" i="6"/>
  <c r="G242" i="6"/>
  <c r="H242" i="6"/>
  <c r="I242" i="6"/>
  <c r="J242" i="6"/>
  <c r="K242" i="6"/>
  <c r="G243" i="6"/>
  <c r="H243" i="6"/>
  <c r="I243" i="6"/>
  <c r="J243" i="6"/>
  <c r="K243" i="6"/>
  <c r="G244" i="6"/>
  <c r="H244" i="6"/>
  <c r="I244" i="6"/>
  <c r="J244" i="6"/>
  <c r="K244" i="6"/>
  <c r="G245" i="6"/>
  <c r="H245" i="6"/>
  <c r="I245" i="6"/>
  <c r="J245" i="6"/>
  <c r="K245" i="6"/>
  <c r="G246" i="6"/>
  <c r="H246" i="6"/>
  <c r="I246" i="6"/>
  <c r="J246" i="6"/>
  <c r="K246" i="6"/>
  <c r="G247" i="6"/>
  <c r="H247" i="6"/>
  <c r="I247" i="6"/>
  <c r="J247" i="6"/>
  <c r="K247" i="6"/>
  <c r="G248" i="6"/>
  <c r="H248" i="6"/>
  <c r="I248" i="6"/>
  <c r="J248" i="6"/>
  <c r="K248" i="6"/>
  <c r="G249" i="6"/>
  <c r="H249" i="6"/>
  <c r="I249" i="6"/>
  <c r="J249" i="6"/>
  <c r="K249" i="6"/>
  <c r="G250" i="6"/>
  <c r="H250" i="6"/>
  <c r="I250" i="6"/>
  <c r="J250" i="6"/>
  <c r="K250" i="6"/>
  <c r="G251" i="6"/>
  <c r="H251" i="6"/>
  <c r="I251" i="6"/>
  <c r="J251" i="6"/>
  <c r="K251" i="6"/>
  <c r="G252" i="6"/>
  <c r="H252" i="6"/>
  <c r="I252" i="6"/>
  <c r="J252" i="6"/>
  <c r="K252" i="6"/>
  <c r="G253" i="6"/>
  <c r="H253" i="6"/>
  <c r="I253" i="6"/>
  <c r="J253" i="6"/>
  <c r="K253" i="6"/>
  <c r="G254" i="6"/>
  <c r="H254" i="6"/>
  <c r="I254" i="6"/>
  <c r="J254" i="6"/>
  <c r="K254" i="6"/>
  <c r="G255" i="6"/>
  <c r="H255" i="6"/>
  <c r="I255" i="6"/>
  <c r="J255" i="6"/>
  <c r="K255" i="6"/>
  <c r="G256" i="6"/>
  <c r="H256" i="6"/>
  <c r="I256" i="6"/>
  <c r="J256" i="6"/>
  <c r="K256" i="6"/>
  <c r="G257" i="6"/>
  <c r="H257" i="6"/>
  <c r="I257" i="6"/>
  <c r="J257" i="6"/>
  <c r="K257" i="6"/>
  <c r="G258" i="6"/>
  <c r="H258" i="6"/>
  <c r="I258" i="6"/>
  <c r="J258" i="6"/>
  <c r="K258" i="6"/>
  <c r="G259" i="6"/>
  <c r="H259" i="6"/>
  <c r="I259" i="6"/>
  <c r="J259" i="6"/>
  <c r="K259" i="6"/>
  <c r="G260" i="6"/>
  <c r="H260" i="6"/>
  <c r="I260" i="6"/>
  <c r="J260" i="6"/>
  <c r="K260" i="6"/>
  <c r="G261" i="6"/>
  <c r="H261" i="6"/>
  <c r="I261" i="6"/>
  <c r="J261" i="6"/>
  <c r="K261" i="6"/>
  <c r="G262" i="6"/>
  <c r="H262" i="6"/>
  <c r="I262" i="6"/>
  <c r="J262" i="6"/>
  <c r="K262" i="6"/>
  <c r="G263" i="6"/>
  <c r="H263" i="6"/>
  <c r="I263" i="6"/>
  <c r="J263" i="6"/>
  <c r="K263" i="6"/>
  <c r="G264" i="6"/>
  <c r="H264" i="6"/>
  <c r="I264" i="6"/>
  <c r="J264" i="6"/>
  <c r="K264" i="6"/>
  <c r="G265" i="6"/>
  <c r="H265" i="6"/>
  <c r="I265" i="6"/>
  <c r="J265" i="6"/>
  <c r="K265" i="6"/>
  <c r="G266" i="6"/>
  <c r="H266" i="6"/>
  <c r="I266" i="6"/>
  <c r="J266" i="6"/>
  <c r="K266" i="6"/>
  <c r="G267" i="6"/>
  <c r="H267" i="6"/>
  <c r="I267" i="6"/>
  <c r="J267" i="6"/>
  <c r="K267" i="6"/>
  <c r="G268" i="6"/>
  <c r="H268" i="6"/>
  <c r="I268" i="6"/>
  <c r="J268" i="6"/>
  <c r="K268" i="6"/>
  <c r="G269" i="6"/>
  <c r="H269" i="6"/>
  <c r="I269" i="6"/>
  <c r="J269" i="6"/>
  <c r="K269" i="6"/>
  <c r="G270" i="6"/>
  <c r="H270" i="6"/>
  <c r="I270" i="6"/>
  <c r="J270" i="6"/>
  <c r="K270" i="6"/>
  <c r="G271" i="6"/>
  <c r="H271" i="6"/>
  <c r="I271" i="6"/>
  <c r="J271" i="6"/>
  <c r="K271" i="6"/>
  <c r="G272" i="6"/>
  <c r="H272" i="6"/>
  <c r="I272" i="6"/>
  <c r="J272" i="6"/>
  <c r="K272" i="6"/>
  <c r="G273" i="6"/>
  <c r="H273" i="6"/>
  <c r="I273" i="6"/>
  <c r="J273" i="6"/>
  <c r="K273" i="6"/>
  <c r="G274" i="6"/>
  <c r="H274" i="6"/>
  <c r="I274" i="6"/>
  <c r="J274" i="6"/>
  <c r="K274" i="6"/>
  <c r="G275" i="6"/>
  <c r="H275" i="6"/>
  <c r="I275" i="6"/>
  <c r="J275" i="6"/>
  <c r="K275" i="6"/>
  <c r="G276" i="6"/>
  <c r="H276" i="6"/>
  <c r="I276" i="6"/>
  <c r="J276" i="6"/>
  <c r="K276" i="6"/>
  <c r="G277" i="6"/>
  <c r="H277" i="6"/>
  <c r="I277" i="6"/>
  <c r="J277" i="6"/>
  <c r="K277" i="6"/>
  <c r="G278" i="6"/>
  <c r="H278" i="6"/>
  <c r="I278" i="6"/>
  <c r="J278" i="6"/>
  <c r="K278" i="6"/>
  <c r="G279" i="6"/>
  <c r="H279" i="6"/>
  <c r="I279" i="6"/>
  <c r="J279" i="6"/>
  <c r="K279" i="6"/>
  <c r="G280" i="6"/>
  <c r="H280" i="6"/>
  <c r="I280" i="6"/>
  <c r="J280" i="6"/>
  <c r="K280" i="6"/>
  <c r="G281" i="6"/>
  <c r="H281" i="6"/>
  <c r="I281" i="6"/>
  <c r="J281" i="6"/>
  <c r="K281" i="6"/>
  <c r="G282" i="6"/>
  <c r="H282" i="6"/>
  <c r="I282" i="6"/>
  <c r="J282" i="6"/>
  <c r="K282" i="6"/>
  <c r="G283" i="6"/>
  <c r="H283" i="6"/>
  <c r="I283" i="6"/>
  <c r="J283" i="6"/>
  <c r="K283" i="6"/>
  <c r="G284" i="6"/>
  <c r="H284" i="6"/>
  <c r="I284" i="6"/>
  <c r="J284" i="6"/>
  <c r="K284" i="6"/>
  <c r="G285" i="6"/>
  <c r="H285" i="6"/>
  <c r="I285" i="6"/>
  <c r="J285" i="6"/>
  <c r="K285" i="6"/>
  <c r="G286" i="6"/>
  <c r="H286" i="6"/>
  <c r="I286" i="6"/>
  <c r="J286" i="6"/>
  <c r="K286" i="6"/>
  <c r="G287" i="6"/>
  <c r="H287" i="6"/>
  <c r="I287" i="6"/>
  <c r="J287" i="6"/>
  <c r="K287" i="6"/>
  <c r="G288" i="6"/>
  <c r="H288" i="6"/>
  <c r="I288" i="6"/>
  <c r="J288" i="6"/>
  <c r="K288" i="6"/>
  <c r="G289" i="6"/>
  <c r="H289" i="6"/>
  <c r="I289" i="6"/>
  <c r="J289" i="6"/>
  <c r="K289" i="6"/>
  <c r="G290" i="6"/>
  <c r="H290" i="6"/>
  <c r="I290" i="6"/>
  <c r="J290" i="6"/>
  <c r="K290" i="6"/>
  <c r="G291" i="6"/>
  <c r="H291" i="6"/>
  <c r="I291" i="6"/>
  <c r="J291" i="6"/>
  <c r="K291" i="6"/>
  <c r="G292" i="6"/>
  <c r="H292" i="6"/>
  <c r="I292" i="6"/>
  <c r="J292" i="6"/>
  <c r="K292" i="6"/>
  <c r="G293" i="6"/>
  <c r="H293" i="6"/>
  <c r="I293" i="6"/>
  <c r="J293" i="6"/>
  <c r="K293" i="6"/>
  <c r="G294" i="6"/>
  <c r="H294" i="6"/>
  <c r="I294" i="6"/>
  <c r="J294" i="6"/>
  <c r="K294" i="6"/>
  <c r="G295" i="6"/>
  <c r="H295" i="6"/>
  <c r="I295" i="6"/>
  <c r="J295" i="6"/>
  <c r="K295" i="6"/>
  <c r="G296" i="6"/>
  <c r="H296" i="6"/>
  <c r="I296" i="6"/>
  <c r="J296" i="6"/>
  <c r="K296" i="6"/>
  <c r="G297" i="6"/>
  <c r="H297" i="6"/>
  <c r="I297" i="6"/>
  <c r="J297" i="6"/>
  <c r="K297" i="6"/>
  <c r="G298" i="6"/>
  <c r="H298" i="6"/>
  <c r="I298" i="6"/>
  <c r="J298" i="6"/>
  <c r="K298" i="6"/>
  <c r="G299" i="6"/>
  <c r="H299" i="6"/>
  <c r="I299" i="6"/>
  <c r="J299" i="6"/>
  <c r="K299" i="6"/>
  <c r="G300" i="6"/>
  <c r="H300" i="6"/>
  <c r="I300" i="6"/>
  <c r="J300" i="6"/>
  <c r="K300" i="6"/>
  <c r="G301" i="6"/>
  <c r="H301" i="6"/>
  <c r="I301" i="6"/>
  <c r="J301" i="6"/>
  <c r="K301" i="6"/>
  <c r="G302" i="6"/>
  <c r="H302" i="6"/>
  <c r="I302" i="6"/>
  <c r="J302" i="6"/>
  <c r="K302" i="6"/>
  <c r="G303" i="6"/>
  <c r="H303" i="6"/>
  <c r="I303" i="6"/>
  <c r="J303" i="6"/>
  <c r="K303" i="6"/>
  <c r="G304" i="6"/>
  <c r="H304" i="6"/>
  <c r="I304" i="6"/>
  <c r="J304" i="6"/>
  <c r="K304" i="6"/>
  <c r="G305" i="6"/>
  <c r="H305" i="6"/>
  <c r="I305" i="6"/>
  <c r="J305" i="6"/>
  <c r="K305" i="6"/>
  <c r="G306" i="6"/>
  <c r="H306" i="6"/>
  <c r="I306" i="6"/>
  <c r="J306" i="6"/>
  <c r="K306" i="6"/>
  <c r="G307" i="6"/>
  <c r="H307" i="6"/>
  <c r="I307" i="6"/>
  <c r="J307" i="6"/>
  <c r="K307" i="6"/>
  <c r="G308" i="6"/>
  <c r="H308" i="6"/>
  <c r="I308" i="6"/>
  <c r="J308" i="6"/>
  <c r="K308" i="6"/>
  <c r="G309" i="6"/>
  <c r="H309" i="6"/>
  <c r="I309" i="6"/>
  <c r="J309" i="6"/>
  <c r="K309" i="6"/>
  <c r="G310" i="6"/>
  <c r="H310" i="6"/>
  <c r="I310" i="6"/>
  <c r="J310" i="6"/>
  <c r="K310" i="6"/>
  <c r="G311" i="6"/>
  <c r="H311" i="6"/>
  <c r="I311" i="6"/>
  <c r="J311" i="6"/>
  <c r="K311" i="6"/>
  <c r="G312" i="6"/>
  <c r="H312" i="6"/>
  <c r="I312" i="6"/>
  <c r="J312" i="6"/>
  <c r="K312" i="6"/>
  <c r="G313" i="6"/>
  <c r="H313" i="6"/>
  <c r="I313" i="6"/>
  <c r="J313" i="6"/>
  <c r="K313" i="6"/>
  <c r="G314" i="6"/>
  <c r="H314" i="6"/>
  <c r="I314" i="6"/>
  <c r="J314" i="6"/>
  <c r="K314" i="6"/>
  <c r="G315" i="6"/>
  <c r="H315" i="6"/>
  <c r="I315" i="6"/>
  <c r="J315" i="6"/>
  <c r="K315" i="6"/>
  <c r="G316" i="6"/>
  <c r="H316" i="6"/>
  <c r="I316" i="6"/>
  <c r="J316" i="6"/>
  <c r="K316" i="6"/>
  <c r="G317" i="6"/>
  <c r="H317" i="6"/>
  <c r="I317" i="6"/>
  <c r="J317" i="6"/>
  <c r="K317" i="6"/>
  <c r="G318" i="6"/>
  <c r="H318" i="6"/>
  <c r="I318" i="6"/>
  <c r="J318" i="6"/>
  <c r="K318" i="6"/>
  <c r="G319" i="6"/>
  <c r="H319" i="6"/>
  <c r="I319" i="6"/>
  <c r="J319" i="6"/>
  <c r="K319" i="6"/>
  <c r="G320" i="6"/>
  <c r="H320" i="6"/>
  <c r="I320" i="6"/>
  <c r="J320" i="6"/>
  <c r="K320" i="6"/>
  <c r="G321" i="6"/>
  <c r="H321" i="6"/>
  <c r="I321" i="6"/>
  <c r="J321" i="6"/>
  <c r="K321" i="6"/>
  <c r="G322" i="6"/>
  <c r="H322" i="6"/>
  <c r="I322" i="6"/>
  <c r="J322" i="6"/>
  <c r="K322" i="6"/>
  <c r="G323" i="6"/>
  <c r="H323" i="6"/>
  <c r="I323" i="6"/>
  <c r="J323" i="6"/>
  <c r="K323" i="6"/>
  <c r="G324" i="6"/>
  <c r="H324" i="6"/>
  <c r="I324" i="6"/>
  <c r="J324" i="6"/>
  <c r="K324" i="6"/>
  <c r="G325" i="6"/>
  <c r="H325" i="6"/>
  <c r="I325" i="6"/>
  <c r="J325" i="6"/>
  <c r="K325" i="6"/>
  <c r="G326" i="6"/>
  <c r="H326" i="6"/>
  <c r="I326" i="6"/>
  <c r="J326" i="6"/>
  <c r="K326" i="6"/>
  <c r="G327" i="6"/>
  <c r="H327" i="6"/>
  <c r="I327" i="6"/>
  <c r="J327" i="6"/>
  <c r="K327" i="6"/>
  <c r="G328" i="6"/>
  <c r="H328" i="6"/>
  <c r="I328" i="6"/>
  <c r="J328" i="6"/>
  <c r="K328" i="6"/>
  <c r="G329" i="6"/>
  <c r="H329" i="6"/>
  <c r="I329" i="6"/>
  <c r="J329" i="6"/>
  <c r="K329" i="6"/>
  <c r="G330" i="6"/>
  <c r="H330" i="6"/>
  <c r="I330" i="6"/>
  <c r="J330" i="6"/>
  <c r="K330" i="6"/>
  <c r="G331" i="6"/>
  <c r="H331" i="6"/>
  <c r="I331" i="6"/>
  <c r="J331" i="6"/>
  <c r="K331" i="6"/>
  <c r="G332" i="6"/>
  <c r="H332" i="6"/>
  <c r="I332" i="6"/>
  <c r="J332" i="6"/>
  <c r="K332" i="6"/>
  <c r="G333" i="6"/>
  <c r="H333" i="6"/>
  <c r="I333" i="6"/>
  <c r="J333" i="6"/>
  <c r="K333" i="6"/>
  <c r="G334" i="6"/>
  <c r="H334" i="6"/>
  <c r="I334" i="6"/>
  <c r="J334" i="6"/>
  <c r="K334" i="6"/>
  <c r="G335" i="6"/>
  <c r="H335" i="6"/>
  <c r="I335" i="6"/>
  <c r="J335" i="6"/>
  <c r="K335" i="6"/>
  <c r="G336" i="6"/>
  <c r="H336" i="6"/>
  <c r="I336" i="6"/>
  <c r="J336" i="6"/>
  <c r="K336" i="6"/>
  <c r="G337" i="6"/>
  <c r="H337" i="6"/>
  <c r="I337" i="6"/>
  <c r="J337" i="6"/>
  <c r="K337" i="6"/>
  <c r="G338" i="6"/>
  <c r="H338" i="6"/>
  <c r="I338" i="6"/>
  <c r="J338" i="6"/>
  <c r="K338" i="6"/>
  <c r="G339" i="6"/>
  <c r="H339" i="6"/>
  <c r="I339" i="6"/>
  <c r="J339" i="6"/>
  <c r="K339" i="6"/>
  <c r="G340" i="6"/>
  <c r="H340" i="6"/>
  <c r="I340" i="6"/>
  <c r="J340" i="6"/>
  <c r="K340" i="6"/>
  <c r="G341" i="6"/>
  <c r="H341" i="6"/>
  <c r="I341" i="6"/>
  <c r="J341" i="6"/>
  <c r="K341" i="6"/>
  <c r="G342" i="6"/>
  <c r="H342" i="6"/>
  <c r="I342" i="6"/>
  <c r="J342" i="6"/>
  <c r="K342" i="6"/>
  <c r="G343" i="6"/>
  <c r="H343" i="6"/>
  <c r="I343" i="6"/>
  <c r="J343" i="6"/>
  <c r="K343" i="6"/>
  <c r="G344" i="6"/>
  <c r="H344" i="6"/>
  <c r="I344" i="6"/>
  <c r="J344" i="6"/>
  <c r="K344" i="6"/>
  <c r="G345" i="6"/>
  <c r="H345" i="6"/>
  <c r="I345" i="6"/>
  <c r="J345" i="6"/>
  <c r="K345" i="6"/>
  <c r="G346" i="6"/>
  <c r="H346" i="6"/>
  <c r="I346" i="6"/>
  <c r="J346" i="6"/>
  <c r="K346" i="6"/>
  <c r="G347" i="6"/>
  <c r="H347" i="6"/>
  <c r="I347" i="6"/>
  <c r="J347" i="6"/>
  <c r="K347" i="6"/>
  <c r="G348" i="6"/>
  <c r="H348" i="6"/>
  <c r="I348" i="6"/>
  <c r="J348" i="6"/>
  <c r="K348" i="6"/>
  <c r="G349" i="6"/>
  <c r="H349" i="6"/>
  <c r="I349" i="6"/>
  <c r="J349" i="6"/>
  <c r="K349" i="6"/>
  <c r="G350" i="6"/>
  <c r="H350" i="6"/>
  <c r="I350" i="6"/>
  <c r="J350" i="6"/>
  <c r="K350" i="6"/>
  <c r="G351" i="6"/>
  <c r="H351" i="6"/>
  <c r="I351" i="6"/>
  <c r="J351" i="6"/>
  <c r="K351" i="6"/>
  <c r="G352" i="6"/>
  <c r="H352" i="6"/>
  <c r="I352" i="6"/>
  <c r="J352" i="6"/>
  <c r="K352" i="6"/>
  <c r="G353" i="6"/>
  <c r="H353" i="6"/>
  <c r="I353" i="6"/>
  <c r="J353" i="6"/>
  <c r="K353" i="6"/>
  <c r="G354" i="6"/>
  <c r="H354" i="6"/>
  <c r="I354" i="6"/>
  <c r="J354" i="6"/>
  <c r="K354" i="6"/>
  <c r="G355" i="6"/>
  <c r="H355" i="6"/>
  <c r="I355" i="6"/>
  <c r="J355" i="6"/>
  <c r="K355" i="6"/>
  <c r="G356" i="6"/>
  <c r="H356" i="6"/>
  <c r="I356" i="6"/>
  <c r="J356" i="6"/>
  <c r="K356" i="6"/>
  <c r="G357" i="6"/>
  <c r="H357" i="6"/>
  <c r="I357" i="6"/>
  <c r="J357" i="6"/>
  <c r="K357" i="6"/>
  <c r="G358" i="6"/>
  <c r="H358" i="6"/>
  <c r="I358" i="6"/>
  <c r="J358" i="6"/>
  <c r="K358" i="6"/>
  <c r="G359" i="6"/>
  <c r="H359" i="6"/>
  <c r="I359" i="6"/>
  <c r="J359" i="6"/>
  <c r="K359" i="6"/>
  <c r="G360" i="6"/>
  <c r="H360" i="6"/>
  <c r="I360" i="6"/>
  <c r="J360" i="6"/>
  <c r="K360" i="6"/>
  <c r="G361" i="6"/>
  <c r="H361" i="6"/>
  <c r="I361" i="6"/>
  <c r="J361" i="6"/>
  <c r="K361" i="6"/>
  <c r="G362" i="6"/>
  <c r="H362" i="6"/>
  <c r="I362" i="6"/>
  <c r="J362" i="6"/>
  <c r="K362" i="6"/>
  <c r="G363" i="6"/>
  <c r="H363" i="6"/>
  <c r="I363" i="6"/>
  <c r="J363" i="6"/>
  <c r="K363" i="6"/>
  <c r="G364" i="6"/>
  <c r="H364" i="6"/>
  <c r="I364" i="6"/>
  <c r="J364" i="6"/>
  <c r="K364" i="6"/>
  <c r="G365" i="6"/>
  <c r="H365" i="6"/>
  <c r="I365" i="6"/>
  <c r="J365" i="6"/>
  <c r="K365" i="6"/>
  <c r="G366" i="6"/>
  <c r="H366" i="6"/>
  <c r="I366" i="6"/>
  <c r="J366" i="6"/>
  <c r="K366" i="6"/>
  <c r="G367" i="6"/>
  <c r="H367" i="6"/>
  <c r="I367" i="6"/>
  <c r="J367" i="6"/>
  <c r="K367" i="6"/>
  <c r="G368" i="6"/>
  <c r="H368" i="6"/>
  <c r="I368" i="6"/>
  <c r="J368" i="6"/>
  <c r="K368" i="6"/>
  <c r="G369" i="6"/>
  <c r="H369" i="6"/>
  <c r="I369" i="6"/>
  <c r="J369" i="6"/>
  <c r="K369" i="6"/>
  <c r="G370" i="6"/>
  <c r="H370" i="6"/>
  <c r="I370" i="6"/>
  <c r="J370" i="6"/>
  <c r="K370" i="6"/>
  <c r="G371" i="6"/>
  <c r="H371" i="6"/>
  <c r="I371" i="6"/>
  <c r="J371" i="6"/>
  <c r="K371" i="6"/>
  <c r="G372" i="6"/>
  <c r="H372" i="6"/>
  <c r="I372" i="6"/>
  <c r="J372" i="6"/>
  <c r="K372" i="6"/>
  <c r="G373" i="6"/>
  <c r="H373" i="6"/>
  <c r="I373" i="6"/>
  <c r="J373" i="6"/>
  <c r="K373" i="6"/>
  <c r="G374" i="6"/>
  <c r="H374" i="6"/>
  <c r="I374" i="6"/>
  <c r="J374" i="6"/>
  <c r="K374" i="6"/>
  <c r="G375" i="6"/>
  <c r="H375" i="6"/>
  <c r="I375" i="6"/>
  <c r="J375" i="6"/>
  <c r="K375" i="6"/>
  <c r="G376" i="6"/>
  <c r="H376" i="6"/>
  <c r="I376" i="6"/>
  <c r="J376" i="6"/>
  <c r="K376" i="6"/>
  <c r="G377" i="6"/>
  <c r="H377" i="6"/>
  <c r="I377" i="6"/>
  <c r="J377" i="6"/>
  <c r="K377" i="6"/>
  <c r="G378" i="6"/>
  <c r="H378" i="6"/>
  <c r="I378" i="6"/>
  <c r="J378" i="6"/>
  <c r="K378" i="6"/>
  <c r="G379" i="6"/>
  <c r="H379" i="6"/>
  <c r="I379" i="6"/>
  <c r="J379" i="6"/>
  <c r="K379" i="6"/>
  <c r="G380" i="6"/>
  <c r="H380" i="6"/>
  <c r="I380" i="6"/>
  <c r="J380" i="6"/>
  <c r="K380" i="6"/>
  <c r="G381" i="6"/>
  <c r="H381" i="6"/>
  <c r="I381" i="6"/>
  <c r="J381" i="6"/>
  <c r="K381" i="6"/>
  <c r="G382" i="6"/>
  <c r="H382" i="6"/>
  <c r="I382" i="6"/>
  <c r="J382" i="6"/>
  <c r="K382" i="6"/>
  <c r="G383" i="6"/>
  <c r="H383" i="6"/>
  <c r="I383" i="6"/>
  <c r="J383" i="6"/>
  <c r="K383" i="6"/>
  <c r="G384" i="6"/>
  <c r="H384" i="6"/>
  <c r="I384" i="6"/>
  <c r="J384" i="6"/>
  <c r="K384" i="6"/>
  <c r="G385" i="6"/>
  <c r="H385" i="6"/>
  <c r="I385" i="6"/>
  <c r="J385" i="6"/>
  <c r="K385" i="6"/>
  <c r="G386" i="6"/>
  <c r="H386" i="6"/>
  <c r="I386" i="6"/>
  <c r="J386" i="6"/>
  <c r="K386" i="6"/>
  <c r="G387" i="6"/>
  <c r="H387" i="6"/>
  <c r="I387" i="6"/>
  <c r="J387" i="6"/>
  <c r="K387" i="6"/>
  <c r="G388" i="6"/>
  <c r="H388" i="6"/>
  <c r="I388" i="6"/>
  <c r="J388" i="6"/>
  <c r="K388" i="6"/>
  <c r="G389" i="6"/>
  <c r="H389" i="6"/>
  <c r="I389" i="6"/>
  <c r="J389" i="6"/>
  <c r="K389" i="6"/>
  <c r="G390" i="6"/>
  <c r="H390" i="6"/>
  <c r="I390" i="6"/>
  <c r="J390" i="6"/>
  <c r="K390" i="6"/>
  <c r="G391" i="6"/>
  <c r="H391" i="6"/>
  <c r="I391" i="6"/>
  <c r="J391" i="6"/>
  <c r="K391" i="6"/>
  <c r="G392" i="6"/>
  <c r="H392" i="6"/>
  <c r="I392" i="6"/>
  <c r="J392" i="6"/>
  <c r="K392" i="6"/>
  <c r="G393" i="6"/>
  <c r="H393" i="6"/>
  <c r="I393" i="6"/>
  <c r="J393" i="6"/>
  <c r="K393" i="6"/>
  <c r="G394" i="6"/>
  <c r="H394" i="6"/>
  <c r="I394" i="6"/>
  <c r="J394" i="6"/>
  <c r="K394" i="6"/>
  <c r="G395" i="6"/>
  <c r="H395" i="6"/>
  <c r="I395" i="6"/>
  <c r="J395" i="6"/>
  <c r="K395" i="6"/>
  <c r="G396" i="6"/>
  <c r="H396" i="6"/>
  <c r="I396" i="6"/>
  <c r="J396" i="6"/>
  <c r="K396" i="6"/>
  <c r="G397" i="6"/>
  <c r="H397" i="6"/>
  <c r="I397" i="6"/>
  <c r="J397" i="6"/>
  <c r="K397" i="6"/>
  <c r="G398" i="6"/>
  <c r="H398" i="6"/>
  <c r="I398" i="6"/>
  <c r="J398" i="6"/>
  <c r="K398" i="6"/>
  <c r="G399" i="6"/>
  <c r="H399" i="6"/>
  <c r="I399" i="6"/>
  <c r="J399" i="6"/>
  <c r="K399" i="6"/>
  <c r="G400" i="6"/>
  <c r="H400" i="6"/>
  <c r="I400" i="6"/>
  <c r="J400" i="6"/>
  <c r="K400" i="6"/>
  <c r="G401" i="6"/>
  <c r="H401" i="6"/>
  <c r="I401" i="6"/>
  <c r="J401" i="6"/>
  <c r="K401" i="6"/>
  <c r="G402" i="6"/>
  <c r="H402" i="6"/>
  <c r="I402" i="6"/>
  <c r="J402" i="6"/>
  <c r="K402" i="6"/>
  <c r="G403" i="6"/>
  <c r="H403" i="6"/>
  <c r="I403" i="6"/>
  <c r="J403" i="6"/>
  <c r="K403" i="6"/>
  <c r="G404" i="6"/>
  <c r="H404" i="6"/>
  <c r="I404" i="6"/>
  <c r="J404" i="6"/>
  <c r="K404" i="6"/>
  <c r="G405" i="6"/>
  <c r="H405" i="6"/>
  <c r="I405" i="6"/>
  <c r="J405" i="6"/>
  <c r="K405" i="6"/>
  <c r="G406" i="6"/>
  <c r="H406" i="6"/>
  <c r="I406" i="6"/>
  <c r="J406" i="6"/>
  <c r="K406" i="6"/>
  <c r="G407" i="6"/>
  <c r="H407" i="6"/>
  <c r="I407" i="6"/>
  <c r="J407" i="6"/>
  <c r="K407" i="6"/>
  <c r="G408" i="6"/>
  <c r="H408" i="6"/>
  <c r="I408" i="6"/>
  <c r="J408" i="6"/>
  <c r="K408" i="6"/>
  <c r="G409" i="6"/>
  <c r="H409" i="6"/>
  <c r="I409" i="6"/>
  <c r="J409" i="6"/>
  <c r="K409" i="6"/>
  <c r="G410" i="6"/>
  <c r="H410" i="6"/>
  <c r="I410" i="6"/>
  <c r="J410" i="6"/>
  <c r="K410" i="6"/>
  <c r="G411" i="6"/>
  <c r="H411" i="6"/>
  <c r="I411" i="6"/>
  <c r="J411" i="6"/>
  <c r="K411" i="6"/>
  <c r="G412" i="6"/>
  <c r="H412" i="6"/>
  <c r="I412" i="6"/>
  <c r="J412" i="6"/>
  <c r="K412" i="6"/>
  <c r="G413" i="6"/>
  <c r="H413" i="6"/>
  <c r="I413" i="6"/>
  <c r="J413" i="6"/>
  <c r="K413" i="6"/>
  <c r="G414" i="6"/>
  <c r="H414" i="6"/>
  <c r="I414" i="6"/>
  <c r="J414" i="6"/>
  <c r="K414" i="6"/>
  <c r="G415" i="6"/>
  <c r="H415" i="6"/>
  <c r="I415" i="6"/>
  <c r="J415" i="6"/>
  <c r="K415" i="6"/>
  <c r="G416" i="6"/>
  <c r="H416" i="6"/>
  <c r="I416" i="6"/>
  <c r="J416" i="6"/>
  <c r="K416" i="6"/>
  <c r="G417" i="6"/>
  <c r="H417" i="6"/>
  <c r="I417" i="6"/>
  <c r="J417" i="6"/>
  <c r="K417" i="6"/>
  <c r="G418" i="6"/>
  <c r="H418" i="6"/>
  <c r="I418" i="6"/>
  <c r="J418" i="6"/>
  <c r="K418" i="6"/>
  <c r="G419" i="6"/>
  <c r="H419" i="6"/>
  <c r="I419" i="6"/>
  <c r="J419" i="6"/>
  <c r="K419" i="6"/>
  <c r="G420" i="6"/>
  <c r="H420" i="6"/>
  <c r="I420" i="6"/>
  <c r="J420" i="6"/>
  <c r="K420" i="6"/>
  <c r="G421" i="6"/>
  <c r="H421" i="6"/>
  <c r="I421" i="6"/>
  <c r="J421" i="6"/>
  <c r="K421" i="6"/>
  <c r="G422" i="6"/>
  <c r="H422" i="6"/>
  <c r="I422" i="6"/>
  <c r="J422" i="6"/>
  <c r="K422" i="6"/>
  <c r="G423" i="6"/>
  <c r="H423" i="6"/>
  <c r="I423" i="6"/>
  <c r="J423" i="6"/>
  <c r="K423" i="6"/>
  <c r="G424" i="6"/>
  <c r="H424" i="6"/>
  <c r="I424" i="6"/>
  <c r="J424" i="6"/>
  <c r="K424" i="6"/>
  <c r="G425" i="6"/>
  <c r="H425" i="6"/>
  <c r="I425" i="6"/>
  <c r="J425" i="6"/>
  <c r="K425" i="6"/>
  <c r="G426" i="6"/>
  <c r="H426" i="6"/>
  <c r="I426" i="6"/>
  <c r="J426" i="6"/>
  <c r="K426" i="6"/>
  <c r="G427" i="6"/>
  <c r="H427" i="6"/>
  <c r="I427" i="6"/>
  <c r="J427" i="6"/>
  <c r="K427" i="6"/>
  <c r="G428" i="6"/>
  <c r="H428" i="6"/>
  <c r="I428" i="6"/>
  <c r="J428" i="6"/>
  <c r="K428" i="6"/>
  <c r="G429" i="6"/>
  <c r="H429" i="6"/>
  <c r="I429" i="6"/>
  <c r="J429" i="6"/>
  <c r="K429" i="6"/>
  <c r="G430" i="6"/>
  <c r="H430" i="6"/>
  <c r="I430" i="6"/>
  <c r="J430" i="6"/>
  <c r="K430" i="6"/>
  <c r="G431" i="6"/>
  <c r="H431" i="6"/>
  <c r="I431" i="6"/>
  <c r="J431" i="6"/>
  <c r="K431" i="6"/>
  <c r="G432" i="6"/>
  <c r="H432" i="6"/>
  <c r="I432" i="6"/>
  <c r="J432" i="6"/>
  <c r="K432" i="6"/>
  <c r="G433" i="6"/>
  <c r="H433" i="6"/>
  <c r="I433" i="6"/>
  <c r="J433" i="6"/>
  <c r="K433" i="6"/>
  <c r="G434" i="6"/>
  <c r="H434" i="6"/>
  <c r="I434" i="6"/>
  <c r="J434" i="6"/>
  <c r="K434" i="6"/>
  <c r="G435" i="6"/>
  <c r="H435" i="6"/>
  <c r="I435" i="6"/>
  <c r="J435" i="6"/>
  <c r="K435" i="6"/>
  <c r="G436" i="6"/>
  <c r="H436" i="6"/>
  <c r="I436" i="6"/>
  <c r="J436" i="6"/>
  <c r="K436" i="6"/>
  <c r="G437" i="6"/>
  <c r="H437" i="6"/>
  <c r="I437" i="6"/>
  <c r="J437" i="6"/>
  <c r="K437" i="6"/>
  <c r="G438" i="6"/>
  <c r="H438" i="6"/>
  <c r="I438" i="6"/>
  <c r="J438" i="6"/>
  <c r="K438" i="6"/>
  <c r="G439" i="6"/>
  <c r="H439" i="6"/>
  <c r="I439" i="6"/>
  <c r="J439" i="6"/>
  <c r="K439" i="6"/>
  <c r="G440" i="6"/>
  <c r="H440" i="6"/>
  <c r="I440" i="6"/>
  <c r="J440" i="6"/>
  <c r="K440" i="6"/>
  <c r="G441" i="6"/>
  <c r="H441" i="6"/>
  <c r="I441" i="6"/>
  <c r="J441" i="6"/>
  <c r="K441" i="6"/>
  <c r="G442" i="6"/>
  <c r="H442" i="6"/>
  <c r="I442" i="6"/>
  <c r="J442" i="6"/>
  <c r="K442" i="6"/>
  <c r="G443" i="6"/>
  <c r="H443" i="6"/>
  <c r="I443" i="6"/>
  <c r="J443" i="6"/>
  <c r="K443" i="6"/>
  <c r="G444" i="6"/>
  <c r="H444" i="6"/>
  <c r="I444" i="6"/>
  <c r="J444" i="6"/>
  <c r="K444" i="6"/>
  <c r="G445" i="6"/>
  <c r="H445" i="6"/>
  <c r="I445" i="6"/>
  <c r="J445" i="6"/>
  <c r="K445" i="6"/>
  <c r="G446" i="6"/>
  <c r="H446" i="6"/>
  <c r="I446" i="6"/>
  <c r="J446" i="6"/>
  <c r="K446" i="6"/>
  <c r="G447" i="6"/>
  <c r="H447" i="6"/>
  <c r="I447" i="6"/>
  <c r="J447" i="6"/>
  <c r="K447" i="6"/>
  <c r="G448" i="6"/>
  <c r="H448" i="6"/>
  <c r="I448" i="6"/>
  <c r="J448" i="6"/>
  <c r="K448" i="6"/>
  <c r="G449" i="6"/>
  <c r="H449" i="6"/>
  <c r="I449" i="6"/>
  <c r="J449" i="6"/>
  <c r="K449" i="6"/>
  <c r="G450" i="6"/>
  <c r="H450" i="6"/>
  <c r="I450" i="6"/>
  <c r="J450" i="6"/>
  <c r="K450" i="6"/>
  <c r="G451" i="6"/>
  <c r="H451" i="6"/>
  <c r="I451" i="6"/>
  <c r="J451" i="6"/>
  <c r="K451" i="6"/>
  <c r="G452" i="6"/>
  <c r="H452" i="6"/>
  <c r="I452" i="6"/>
  <c r="J452" i="6"/>
  <c r="K452" i="6"/>
  <c r="G453" i="6"/>
  <c r="H453" i="6"/>
  <c r="I453" i="6"/>
  <c r="J453" i="6"/>
  <c r="K453" i="6"/>
  <c r="G454" i="6"/>
  <c r="H454" i="6"/>
  <c r="I454" i="6"/>
  <c r="J454" i="6"/>
  <c r="K454" i="6"/>
  <c r="G455" i="6"/>
  <c r="H455" i="6"/>
  <c r="I455" i="6"/>
  <c r="J455" i="6"/>
  <c r="K455" i="6"/>
  <c r="G456" i="6"/>
  <c r="H456" i="6"/>
  <c r="I456" i="6"/>
  <c r="J456" i="6"/>
  <c r="K456" i="6"/>
  <c r="G457" i="6"/>
  <c r="H457" i="6"/>
  <c r="I457" i="6"/>
  <c r="J457" i="6"/>
  <c r="K457" i="6"/>
  <c r="G458" i="6"/>
  <c r="H458" i="6"/>
  <c r="I458" i="6"/>
  <c r="J458" i="6"/>
  <c r="K458" i="6"/>
  <c r="G459" i="6"/>
  <c r="H459" i="6"/>
  <c r="I459" i="6"/>
  <c r="J459" i="6"/>
  <c r="K459" i="6"/>
  <c r="G460" i="6"/>
  <c r="H460" i="6"/>
  <c r="I460" i="6"/>
  <c r="J460" i="6"/>
  <c r="K460" i="6"/>
  <c r="G461" i="6"/>
  <c r="H461" i="6"/>
  <c r="I461" i="6"/>
  <c r="J461" i="6"/>
  <c r="K461" i="6"/>
  <c r="G462" i="6"/>
  <c r="H462" i="6"/>
  <c r="I462" i="6"/>
  <c r="J462" i="6"/>
  <c r="K462" i="6"/>
  <c r="G463" i="6"/>
  <c r="H463" i="6"/>
  <c r="I463" i="6"/>
  <c r="J463" i="6"/>
  <c r="K463" i="6"/>
  <c r="G464" i="6"/>
  <c r="H464" i="6"/>
  <c r="I464" i="6"/>
  <c r="J464" i="6"/>
  <c r="K464" i="6"/>
  <c r="G465" i="6"/>
  <c r="H465" i="6"/>
  <c r="I465" i="6"/>
  <c r="J465" i="6"/>
  <c r="K465" i="6"/>
  <c r="G466" i="6"/>
  <c r="H466" i="6"/>
  <c r="I466" i="6"/>
  <c r="J466" i="6"/>
  <c r="K466" i="6"/>
  <c r="G467" i="6"/>
  <c r="H467" i="6"/>
  <c r="I467" i="6"/>
  <c r="J467" i="6"/>
  <c r="K467" i="6"/>
  <c r="G468" i="6"/>
  <c r="H468" i="6"/>
  <c r="I468" i="6"/>
  <c r="J468" i="6"/>
  <c r="K468" i="6"/>
  <c r="G469" i="6"/>
  <c r="H469" i="6"/>
  <c r="I469" i="6"/>
  <c r="J469" i="6"/>
  <c r="K469" i="6"/>
  <c r="G470" i="6"/>
  <c r="H470" i="6"/>
  <c r="I470" i="6"/>
  <c r="J470" i="6"/>
  <c r="K470" i="6"/>
  <c r="G471" i="6"/>
  <c r="H471" i="6"/>
  <c r="I471" i="6"/>
  <c r="J471" i="6"/>
  <c r="K471" i="6"/>
  <c r="G472" i="6"/>
  <c r="H472" i="6"/>
  <c r="I472" i="6"/>
  <c r="J472" i="6"/>
  <c r="K472" i="6"/>
  <c r="G473" i="6"/>
  <c r="H473" i="6"/>
  <c r="I473" i="6"/>
  <c r="J473" i="6"/>
  <c r="K473" i="6"/>
  <c r="G474" i="6"/>
  <c r="H474" i="6"/>
  <c r="I474" i="6"/>
  <c r="J474" i="6"/>
  <c r="K474" i="6"/>
  <c r="G475" i="6"/>
  <c r="H475" i="6"/>
  <c r="I475" i="6"/>
  <c r="J475" i="6"/>
  <c r="K475" i="6"/>
  <c r="G476" i="6"/>
  <c r="H476" i="6"/>
  <c r="I476" i="6"/>
  <c r="J476" i="6"/>
  <c r="K476" i="6"/>
  <c r="G477" i="6"/>
  <c r="H477" i="6"/>
  <c r="I477" i="6"/>
  <c r="J477" i="6"/>
  <c r="K477" i="6"/>
  <c r="G478" i="6"/>
  <c r="H478" i="6"/>
  <c r="I478" i="6"/>
  <c r="J478" i="6"/>
  <c r="K478" i="6"/>
  <c r="G479" i="6"/>
  <c r="H479" i="6"/>
  <c r="I479" i="6"/>
  <c r="J479" i="6"/>
  <c r="K479" i="6"/>
  <c r="G480" i="6"/>
  <c r="H480" i="6"/>
  <c r="I480" i="6"/>
  <c r="J480" i="6"/>
  <c r="K480" i="6"/>
  <c r="G481" i="6"/>
  <c r="H481" i="6"/>
  <c r="I481" i="6"/>
  <c r="J481" i="6"/>
  <c r="K481" i="6"/>
  <c r="G482" i="6"/>
  <c r="H482" i="6"/>
  <c r="I482" i="6"/>
  <c r="J482" i="6"/>
  <c r="K482" i="6"/>
  <c r="G483" i="6"/>
  <c r="H483" i="6"/>
  <c r="I483" i="6"/>
  <c r="J483" i="6"/>
  <c r="K483" i="6"/>
  <c r="G484" i="6"/>
  <c r="H484" i="6"/>
  <c r="I484" i="6"/>
  <c r="J484" i="6"/>
  <c r="K484" i="6"/>
  <c r="G485" i="6"/>
  <c r="H485" i="6"/>
  <c r="I485" i="6"/>
  <c r="J485" i="6"/>
  <c r="K485" i="6"/>
  <c r="G486" i="6"/>
  <c r="H486" i="6"/>
  <c r="I486" i="6"/>
  <c r="J486" i="6"/>
  <c r="K486" i="6"/>
  <c r="G487" i="6"/>
  <c r="H487" i="6"/>
  <c r="I487" i="6"/>
  <c r="J487" i="6"/>
  <c r="K487" i="6"/>
  <c r="G488" i="6"/>
  <c r="H488" i="6"/>
  <c r="I488" i="6"/>
  <c r="J488" i="6"/>
  <c r="K488" i="6"/>
  <c r="G489" i="6"/>
  <c r="H489" i="6"/>
  <c r="I489" i="6"/>
  <c r="J489" i="6"/>
  <c r="K489" i="6"/>
  <c r="G490" i="6"/>
  <c r="H490" i="6"/>
  <c r="I490" i="6"/>
  <c r="J490" i="6"/>
  <c r="K490" i="6"/>
  <c r="G491" i="6"/>
  <c r="H491" i="6"/>
  <c r="I491" i="6"/>
  <c r="J491" i="6"/>
  <c r="K491" i="6"/>
  <c r="G492" i="6"/>
  <c r="H492" i="6"/>
  <c r="I492" i="6"/>
  <c r="J492" i="6"/>
  <c r="K492" i="6"/>
  <c r="G493" i="6"/>
  <c r="H493" i="6"/>
  <c r="I493" i="6"/>
  <c r="J493" i="6"/>
  <c r="K493" i="6"/>
  <c r="G494" i="6"/>
  <c r="H494" i="6"/>
  <c r="I494" i="6"/>
  <c r="J494" i="6"/>
  <c r="K494" i="6"/>
  <c r="G495" i="6"/>
  <c r="H495" i="6"/>
  <c r="I495" i="6"/>
  <c r="J495" i="6"/>
  <c r="K495" i="6"/>
  <c r="G496" i="6"/>
  <c r="H496" i="6"/>
  <c r="I496" i="6"/>
  <c r="J496" i="6"/>
  <c r="K496" i="6"/>
  <c r="G497" i="6"/>
  <c r="H497" i="6"/>
  <c r="I497" i="6"/>
  <c r="J497" i="6"/>
  <c r="K497" i="6"/>
  <c r="G498" i="6"/>
  <c r="H498" i="6"/>
  <c r="I498" i="6"/>
  <c r="J498" i="6"/>
  <c r="K498" i="6"/>
  <c r="G499" i="6"/>
  <c r="H499" i="6"/>
  <c r="I499" i="6"/>
  <c r="J499" i="6"/>
  <c r="K499" i="6"/>
  <c r="G500" i="6"/>
  <c r="H500" i="6"/>
  <c r="I500" i="6"/>
  <c r="J500" i="6"/>
  <c r="K500" i="6"/>
  <c r="G501" i="6"/>
  <c r="H501" i="6"/>
  <c r="I501" i="6"/>
  <c r="J501" i="6"/>
  <c r="K501" i="6"/>
  <c r="H2" i="6"/>
  <c r="I2" i="6"/>
  <c r="J2" i="6"/>
  <c r="K2" i="6"/>
  <c r="A2" i="6"/>
  <c r="L1" i="3" l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2" i="6"/>
  <c r="C2" i="6" l="1"/>
  <c r="D2" i="6"/>
  <c r="C3" i="6"/>
  <c r="D3" i="6"/>
  <c r="E3" i="6"/>
  <c r="F3" i="6"/>
  <c r="C4" i="6"/>
  <c r="D4" i="6"/>
  <c r="E4" i="6"/>
  <c r="F4" i="6"/>
  <c r="A6" i="6"/>
  <c r="C5" i="6"/>
  <c r="D5" i="6"/>
  <c r="E5" i="6"/>
  <c r="F5" i="6"/>
  <c r="A7" i="6"/>
  <c r="C6" i="6"/>
  <c r="D6" i="6"/>
  <c r="E6" i="6"/>
  <c r="F6" i="6"/>
  <c r="A8" i="6"/>
  <c r="C7" i="6"/>
  <c r="D7" i="6"/>
  <c r="E7" i="6"/>
  <c r="F7" i="6"/>
  <c r="A9" i="6"/>
  <c r="C8" i="6"/>
  <c r="D8" i="6"/>
  <c r="E8" i="6"/>
  <c r="F8" i="6"/>
  <c r="A10" i="6"/>
  <c r="C9" i="6"/>
  <c r="D9" i="6"/>
  <c r="E9" i="6"/>
  <c r="F9" i="6"/>
  <c r="A11" i="6"/>
  <c r="C10" i="6"/>
  <c r="D10" i="6"/>
  <c r="E10" i="6"/>
  <c r="F10" i="6"/>
  <c r="A12" i="6"/>
  <c r="C11" i="6"/>
  <c r="D11" i="6"/>
  <c r="E11" i="6"/>
  <c r="F11" i="6"/>
  <c r="A13" i="6"/>
  <c r="C12" i="6"/>
  <c r="D12" i="6"/>
  <c r="E12" i="6"/>
  <c r="F12" i="6"/>
  <c r="A14" i="6"/>
  <c r="C13" i="6"/>
  <c r="D13" i="6"/>
  <c r="E13" i="6"/>
  <c r="F13" i="6"/>
  <c r="A15" i="6"/>
  <c r="C14" i="6"/>
  <c r="D14" i="6"/>
  <c r="E14" i="6"/>
  <c r="F14" i="6"/>
  <c r="A16" i="6"/>
  <c r="C15" i="6"/>
  <c r="D15" i="6"/>
  <c r="E15" i="6"/>
  <c r="F15" i="6"/>
  <c r="A17" i="6"/>
  <c r="C16" i="6"/>
  <c r="D16" i="6"/>
  <c r="E16" i="6"/>
  <c r="F16" i="6"/>
  <c r="A18" i="6"/>
  <c r="C17" i="6"/>
  <c r="D17" i="6"/>
  <c r="E17" i="6"/>
  <c r="F17" i="6"/>
  <c r="A19" i="6"/>
  <c r="C18" i="6"/>
  <c r="D18" i="6"/>
  <c r="E18" i="6"/>
  <c r="F18" i="6"/>
  <c r="A20" i="6"/>
  <c r="C19" i="6"/>
  <c r="D19" i="6"/>
  <c r="E19" i="6"/>
  <c r="F19" i="6"/>
  <c r="A21" i="6"/>
  <c r="C20" i="6"/>
  <c r="D20" i="6"/>
  <c r="E20" i="6"/>
  <c r="F20" i="6"/>
  <c r="A22" i="6"/>
  <c r="C21" i="6"/>
  <c r="D21" i="6"/>
  <c r="E21" i="6"/>
  <c r="F21" i="6"/>
  <c r="A23" i="6"/>
  <c r="C22" i="6"/>
  <c r="D22" i="6"/>
  <c r="E22" i="6"/>
  <c r="F22" i="6"/>
  <c r="A24" i="6"/>
  <c r="C23" i="6"/>
  <c r="D23" i="6"/>
  <c r="E23" i="6"/>
  <c r="F23" i="6"/>
  <c r="A25" i="6"/>
  <c r="C24" i="6"/>
  <c r="D24" i="6"/>
  <c r="E24" i="6"/>
  <c r="F24" i="6"/>
  <c r="A26" i="6"/>
  <c r="C25" i="6"/>
  <c r="D25" i="6"/>
  <c r="E25" i="6"/>
  <c r="F25" i="6"/>
  <c r="A27" i="6"/>
  <c r="C26" i="6"/>
  <c r="D26" i="6"/>
  <c r="E26" i="6"/>
  <c r="F26" i="6"/>
  <c r="A28" i="6"/>
  <c r="C27" i="6"/>
  <c r="D27" i="6"/>
  <c r="E27" i="6"/>
  <c r="F27" i="6"/>
  <c r="A29" i="6"/>
  <c r="C28" i="6"/>
  <c r="D28" i="6"/>
  <c r="E28" i="6"/>
  <c r="F28" i="6"/>
  <c r="A30" i="6"/>
  <c r="C29" i="6"/>
  <c r="D29" i="6"/>
  <c r="E29" i="6"/>
  <c r="F29" i="6"/>
  <c r="A31" i="6"/>
  <c r="C30" i="6"/>
  <c r="D30" i="6"/>
  <c r="E30" i="6"/>
  <c r="F30" i="6"/>
  <c r="A32" i="6"/>
  <c r="C31" i="6"/>
  <c r="D31" i="6"/>
  <c r="E31" i="6"/>
  <c r="F31" i="6"/>
  <c r="A33" i="6"/>
  <c r="C32" i="6"/>
  <c r="D32" i="6"/>
  <c r="E32" i="6"/>
  <c r="F32" i="6"/>
  <c r="A34" i="6"/>
  <c r="C33" i="6"/>
  <c r="D33" i="6"/>
  <c r="E33" i="6"/>
  <c r="F33" i="6"/>
  <c r="A35" i="6"/>
  <c r="C34" i="6"/>
  <c r="D34" i="6"/>
  <c r="E34" i="6"/>
  <c r="F34" i="6"/>
  <c r="A36" i="6"/>
  <c r="C35" i="6"/>
  <c r="D35" i="6"/>
  <c r="E35" i="6"/>
  <c r="F35" i="6"/>
  <c r="A37" i="6"/>
  <c r="C36" i="6"/>
  <c r="D36" i="6"/>
  <c r="E36" i="6"/>
  <c r="F36" i="6"/>
  <c r="A38" i="6"/>
  <c r="C37" i="6"/>
  <c r="D37" i="6"/>
  <c r="E37" i="6"/>
  <c r="F37" i="6"/>
  <c r="A39" i="6"/>
  <c r="C38" i="6"/>
  <c r="D38" i="6"/>
  <c r="E38" i="6"/>
  <c r="F38" i="6"/>
  <c r="A40" i="6"/>
  <c r="C39" i="6"/>
  <c r="D39" i="6"/>
  <c r="E39" i="6"/>
  <c r="F39" i="6"/>
  <c r="A41" i="6"/>
  <c r="C40" i="6"/>
  <c r="D40" i="6"/>
  <c r="E40" i="6"/>
  <c r="F40" i="6"/>
  <c r="A42" i="6"/>
  <c r="C41" i="6"/>
  <c r="D41" i="6"/>
  <c r="E41" i="6"/>
  <c r="F41" i="6"/>
  <c r="A43" i="6"/>
  <c r="C42" i="6"/>
  <c r="D42" i="6"/>
  <c r="E42" i="6"/>
  <c r="F42" i="6"/>
  <c r="A44" i="6"/>
  <c r="C43" i="6"/>
  <c r="D43" i="6"/>
  <c r="E43" i="6"/>
  <c r="F43" i="6"/>
  <c r="A45" i="6"/>
  <c r="C44" i="6"/>
  <c r="D44" i="6"/>
  <c r="E44" i="6"/>
  <c r="F44" i="6"/>
  <c r="A46" i="6"/>
  <c r="C45" i="6"/>
  <c r="D45" i="6"/>
  <c r="E45" i="6"/>
  <c r="F45" i="6"/>
  <c r="A47" i="6"/>
  <c r="C46" i="6"/>
  <c r="D46" i="6"/>
  <c r="E46" i="6"/>
  <c r="F46" i="6"/>
  <c r="A48" i="6"/>
  <c r="C47" i="6"/>
  <c r="D47" i="6"/>
  <c r="E47" i="6"/>
  <c r="F47" i="6"/>
  <c r="A49" i="6"/>
  <c r="C48" i="6"/>
  <c r="D48" i="6"/>
  <c r="E48" i="6"/>
  <c r="F48" i="6"/>
  <c r="A50" i="6"/>
  <c r="C49" i="6"/>
  <c r="D49" i="6"/>
  <c r="E49" i="6"/>
  <c r="F49" i="6"/>
  <c r="A51" i="6"/>
  <c r="C50" i="6"/>
  <c r="D50" i="6"/>
  <c r="E50" i="6"/>
  <c r="F50" i="6"/>
  <c r="A52" i="6"/>
  <c r="C51" i="6"/>
  <c r="D51" i="6"/>
  <c r="E51" i="6"/>
  <c r="F51" i="6"/>
  <c r="A53" i="6"/>
  <c r="C52" i="6"/>
  <c r="D52" i="6"/>
  <c r="E52" i="6"/>
  <c r="F52" i="6"/>
  <c r="A54" i="6"/>
  <c r="C53" i="6"/>
  <c r="D53" i="6"/>
  <c r="E53" i="6"/>
  <c r="F53" i="6"/>
  <c r="A55" i="6"/>
  <c r="C54" i="6"/>
  <c r="D54" i="6"/>
  <c r="E54" i="6"/>
  <c r="F54" i="6"/>
  <c r="A56" i="6"/>
  <c r="C55" i="6"/>
  <c r="D55" i="6"/>
  <c r="E55" i="6"/>
  <c r="F55" i="6"/>
  <c r="A57" i="6"/>
  <c r="C56" i="6"/>
  <c r="D56" i="6"/>
  <c r="E56" i="6"/>
  <c r="F56" i="6"/>
  <c r="A58" i="6"/>
  <c r="C57" i="6"/>
  <c r="D57" i="6"/>
  <c r="E57" i="6"/>
  <c r="F57" i="6"/>
  <c r="A59" i="6"/>
  <c r="C58" i="6"/>
  <c r="D58" i="6"/>
  <c r="E58" i="6"/>
  <c r="F58" i="6"/>
  <c r="A60" i="6"/>
  <c r="C59" i="6"/>
  <c r="D59" i="6"/>
  <c r="E59" i="6"/>
  <c r="F59" i="6"/>
  <c r="A61" i="6"/>
  <c r="C60" i="6"/>
  <c r="D60" i="6"/>
  <c r="E60" i="6"/>
  <c r="F60" i="6"/>
  <c r="A62" i="6"/>
  <c r="C61" i="6"/>
  <c r="D61" i="6"/>
  <c r="E61" i="6"/>
  <c r="F61" i="6"/>
  <c r="A63" i="6"/>
  <c r="C62" i="6"/>
  <c r="D62" i="6"/>
  <c r="E62" i="6"/>
  <c r="F62" i="6"/>
  <c r="A64" i="6"/>
  <c r="C63" i="6"/>
  <c r="D63" i="6"/>
  <c r="E63" i="6"/>
  <c r="F63" i="6"/>
  <c r="A65" i="6"/>
  <c r="C64" i="6"/>
  <c r="D64" i="6"/>
  <c r="E64" i="6"/>
  <c r="F64" i="6"/>
  <c r="A66" i="6"/>
  <c r="C65" i="6"/>
  <c r="D65" i="6"/>
  <c r="E65" i="6"/>
  <c r="F65" i="6"/>
  <c r="A67" i="6"/>
  <c r="C66" i="6"/>
  <c r="D66" i="6"/>
  <c r="E66" i="6"/>
  <c r="F66" i="6"/>
  <c r="A68" i="6"/>
  <c r="C67" i="6"/>
  <c r="D67" i="6"/>
  <c r="E67" i="6"/>
  <c r="F67" i="6"/>
  <c r="A69" i="6"/>
  <c r="C68" i="6"/>
  <c r="D68" i="6"/>
  <c r="E68" i="6"/>
  <c r="F68" i="6"/>
  <c r="A70" i="6"/>
  <c r="C69" i="6"/>
  <c r="D69" i="6"/>
  <c r="E69" i="6"/>
  <c r="F69" i="6"/>
  <c r="A71" i="6"/>
  <c r="C70" i="6"/>
  <c r="D70" i="6"/>
  <c r="E70" i="6"/>
  <c r="F70" i="6"/>
  <c r="A72" i="6"/>
  <c r="C71" i="6"/>
  <c r="D71" i="6"/>
  <c r="E71" i="6"/>
  <c r="F71" i="6"/>
  <c r="A73" i="6"/>
  <c r="C72" i="6"/>
  <c r="D72" i="6"/>
  <c r="E72" i="6"/>
  <c r="F72" i="6"/>
  <c r="A74" i="6"/>
  <c r="C73" i="6"/>
  <c r="D73" i="6"/>
  <c r="E73" i="6"/>
  <c r="F73" i="6"/>
  <c r="A75" i="6"/>
  <c r="C74" i="6"/>
  <c r="D74" i="6"/>
  <c r="E74" i="6"/>
  <c r="F74" i="6"/>
  <c r="A76" i="6"/>
  <c r="C75" i="6"/>
  <c r="D75" i="6"/>
  <c r="E75" i="6"/>
  <c r="F75" i="6"/>
  <c r="A77" i="6"/>
  <c r="C76" i="6"/>
  <c r="D76" i="6"/>
  <c r="E76" i="6"/>
  <c r="F76" i="6"/>
  <c r="A78" i="6"/>
  <c r="C77" i="6"/>
  <c r="D77" i="6"/>
  <c r="E77" i="6"/>
  <c r="F77" i="6"/>
  <c r="A79" i="6"/>
  <c r="C78" i="6"/>
  <c r="D78" i="6"/>
  <c r="E78" i="6"/>
  <c r="F78" i="6"/>
  <c r="A80" i="6"/>
  <c r="C79" i="6"/>
  <c r="D79" i="6"/>
  <c r="E79" i="6"/>
  <c r="F79" i="6"/>
  <c r="A81" i="6"/>
  <c r="C80" i="6"/>
  <c r="D80" i="6"/>
  <c r="E80" i="6"/>
  <c r="F80" i="6"/>
  <c r="A82" i="6"/>
  <c r="C81" i="6"/>
  <c r="D81" i="6"/>
  <c r="E81" i="6"/>
  <c r="F81" i="6"/>
  <c r="A83" i="6"/>
  <c r="C82" i="6"/>
  <c r="D82" i="6"/>
  <c r="E82" i="6"/>
  <c r="F82" i="6"/>
  <c r="A84" i="6"/>
  <c r="C83" i="6"/>
  <c r="D83" i="6"/>
  <c r="E83" i="6"/>
  <c r="F83" i="6"/>
  <c r="A85" i="6"/>
  <c r="C84" i="6"/>
  <c r="D84" i="6"/>
  <c r="E84" i="6"/>
  <c r="F84" i="6"/>
  <c r="A86" i="6"/>
  <c r="C85" i="6"/>
  <c r="D85" i="6"/>
  <c r="E85" i="6"/>
  <c r="F85" i="6"/>
  <c r="A87" i="6"/>
  <c r="C86" i="6"/>
  <c r="D86" i="6"/>
  <c r="E86" i="6"/>
  <c r="F86" i="6"/>
  <c r="A88" i="6"/>
  <c r="C87" i="6"/>
  <c r="D87" i="6"/>
  <c r="E87" i="6"/>
  <c r="F87" i="6"/>
  <c r="A89" i="6"/>
  <c r="C88" i="6"/>
  <c r="D88" i="6"/>
  <c r="E88" i="6"/>
  <c r="F88" i="6"/>
  <c r="A90" i="6"/>
  <c r="C89" i="6"/>
  <c r="D89" i="6"/>
  <c r="E89" i="6"/>
  <c r="F89" i="6"/>
  <c r="A91" i="6"/>
  <c r="C90" i="6"/>
  <c r="D90" i="6"/>
  <c r="E90" i="6"/>
  <c r="F90" i="6"/>
  <c r="A92" i="6"/>
  <c r="C91" i="6"/>
  <c r="D91" i="6"/>
  <c r="E91" i="6"/>
  <c r="F91" i="6"/>
  <c r="A93" i="6"/>
  <c r="C92" i="6"/>
  <c r="D92" i="6"/>
  <c r="E92" i="6"/>
  <c r="F92" i="6"/>
  <c r="A94" i="6"/>
  <c r="C93" i="6"/>
  <c r="D93" i="6"/>
  <c r="E93" i="6"/>
  <c r="F93" i="6"/>
  <c r="A95" i="6"/>
  <c r="C94" i="6"/>
  <c r="D94" i="6"/>
  <c r="E94" i="6"/>
  <c r="F94" i="6"/>
  <c r="A96" i="6"/>
  <c r="C95" i="6"/>
  <c r="D95" i="6"/>
  <c r="E95" i="6"/>
  <c r="F95" i="6"/>
  <c r="A97" i="6"/>
  <c r="C96" i="6"/>
  <c r="D96" i="6"/>
  <c r="E96" i="6"/>
  <c r="F96" i="6"/>
  <c r="A98" i="6"/>
  <c r="C97" i="6"/>
  <c r="D97" i="6"/>
  <c r="E97" i="6"/>
  <c r="F97" i="6"/>
  <c r="A99" i="6"/>
  <c r="C98" i="6"/>
  <c r="D98" i="6"/>
  <c r="E98" i="6"/>
  <c r="F98" i="6"/>
  <c r="A100" i="6"/>
  <c r="C99" i="6"/>
  <c r="D99" i="6"/>
  <c r="E99" i="6"/>
  <c r="F99" i="6"/>
  <c r="A101" i="6"/>
  <c r="C100" i="6"/>
  <c r="D100" i="6"/>
  <c r="E100" i="6"/>
  <c r="F100" i="6"/>
  <c r="A102" i="6"/>
  <c r="C101" i="6"/>
  <c r="D101" i="6"/>
  <c r="E101" i="6"/>
  <c r="F101" i="6"/>
  <c r="A103" i="6"/>
  <c r="C102" i="6"/>
  <c r="D102" i="6"/>
  <c r="E102" i="6"/>
  <c r="F102" i="6"/>
  <c r="A104" i="6"/>
  <c r="C103" i="6"/>
  <c r="D103" i="6"/>
  <c r="E103" i="6"/>
  <c r="F103" i="6"/>
  <c r="A105" i="6"/>
  <c r="C104" i="6"/>
  <c r="D104" i="6"/>
  <c r="E104" i="6"/>
  <c r="F104" i="6"/>
  <c r="A106" i="6"/>
  <c r="C105" i="6"/>
  <c r="D105" i="6"/>
  <c r="E105" i="6"/>
  <c r="F105" i="6"/>
  <c r="A107" i="6"/>
  <c r="C106" i="6"/>
  <c r="D106" i="6"/>
  <c r="E106" i="6"/>
  <c r="F106" i="6"/>
  <c r="A108" i="6"/>
  <c r="C107" i="6"/>
  <c r="D107" i="6"/>
  <c r="E107" i="6"/>
  <c r="F107" i="6"/>
  <c r="A109" i="6"/>
  <c r="C108" i="6"/>
  <c r="D108" i="6"/>
  <c r="E108" i="6"/>
  <c r="F108" i="6"/>
  <c r="A110" i="6"/>
  <c r="C109" i="6"/>
  <c r="D109" i="6"/>
  <c r="E109" i="6"/>
  <c r="F109" i="6"/>
  <c r="A111" i="6"/>
  <c r="C110" i="6"/>
  <c r="D110" i="6"/>
  <c r="E110" i="6"/>
  <c r="F110" i="6"/>
  <c r="A112" i="6"/>
  <c r="C111" i="6"/>
  <c r="D111" i="6"/>
  <c r="E111" i="6"/>
  <c r="F111" i="6"/>
  <c r="A113" i="6"/>
  <c r="C112" i="6"/>
  <c r="D112" i="6"/>
  <c r="E112" i="6"/>
  <c r="F112" i="6"/>
  <c r="A114" i="6"/>
  <c r="C113" i="6"/>
  <c r="D113" i="6"/>
  <c r="E113" i="6"/>
  <c r="F113" i="6"/>
  <c r="A115" i="6"/>
  <c r="C114" i="6"/>
  <c r="D114" i="6"/>
  <c r="E114" i="6"/>
  <c r="F114" i="6"/>
  <c r="A116" i="6"/>
  <c r="C115" i="6"/>
  <c r="D115" i="6"/>
  <c r="E115" i="6"/>
  <c r="F115" i="6"/>
  <c r="A117" i="6"/>
  <c r="C116" i="6"/>
  <c r="D116" i="6"/>
  <c r="E116" i="6"/>
  <c r="F116" i="6"/>
  <c r="A118" i="6"/>
  <c r="C117" i="6"/>
  <c r="D117" i="6"/>
  <c r="E117" i="6"/>
  <c r="F117" i="6"/>
  <c r="A119" i="6"/>
  <c r="C118" i="6"/>
  <c r="D118" i="6"/>
  <c r="E118" i="6"/>
  <c r="F118" i="6"/>
  <c r="A120" i="6"/>
  <c r="C119" i="6"/>
  <c r="D119" i="6"/>
  <c r="E119" i="6"/>
  <c r="F119" i="6"/>
  <c r="A121" i="6"/>
  <c r="C120" i="6"/>
  <c r="D120" i="6"/>
  <c r="E120" i="6"/>
  <c r="F120" i="6"/>
  <c r="A122" i="6"/>
  <c r="C121" i="6"/>
  <c r="D121" i="6"/>
  <c r="E121" i="6"/>
  <c r="F121" i="6"/>
  <c r="A123" i="6"/>
  <c r="C122" i="6"/>
  <c r="D122" i="6"/>
  <c r="E122" i="6"/>
  <c r="F122" i="6"/>
  <c r="A124" i="6"/>
  <c r="C123" i="6"/>
  <c r="D123" i="6"/>
  <c r="E123" i="6"/>
  <c r="F123" i="6"/>
  <c r="A125" i="6"/>
  <c r="C124" i="6"/>
  <c r="D124" i="6"/>
  <c r="E124" i="6"/>
  <c r="F124" i="6"/>
  <c r="A126" i="6"/>
  <c r="C125" i="6"/>
  <c r="D125" i="6"/>
  <c r="E125" i="6"/>
  <c r="F125" i="6"/>
  <c r="A127" i="6"/>
  <c r="C126" i="6"/>
  <c r="D126" i="6"/>
  <c r="E126" i="6"/>
  <c r="F126" i="6"/>
  <c r="A128" i="6"/>
  <c r="C127" i="6"/>
  <c r="D127" i="6"/>
  <c r="E127" i="6"/>
  <c r="F127" i="6"/>
  <c r="A129" i="6"/>
  <c r="C128" i="6"/>
  <c r="D128" i="6"/>
  <c r="E128" i="6"/>
  <c r="F128" i="6"/>
  <c r="A130" i="6"/>
  <c r="C129" i="6"/>
  <c r="D129" i="6"/>
  <c r="E129" i="6"/>
  <c r="F129" i="6"/>
  <c r="A131" i="6"/>
  <c r="C130" i="6"/>
  <c r="D130" i="6"/>
  <c r="E130" i="6"/>
  <c r="F130" i="6"/>
  <c r="A132" i="6"/>
  <c r="C131" i="6"/>
  <c r="D131" i="6"/>
  <c r="E131" i="6"/>
  <c r="F131" i="6"/>
  <c r="A133" i="6"/>
  <c r="C132" i="6"/>
  <c r="D132" i="6"/>
  <c r="E132" i="6"/>
  <c r="F132" i="6"/>
  <c r="A134" i="6"/>
  <c r="C133" i="6"/>
  <c r="D133" i="6"/>
  <c r="E133" i="6"/>
  <c r="F133" i="6"/>
  <c r="A135" i="6"/>
  <c r="C134" i="6"/>
  <c r="D134" i="6"/>
  <c r="E134" i="6"/>
  <c r="F134" i="6"/>
  <c r="A136" i="6"/>
  <c r="C135" i="6"/>
  <c r="D135" i="6"/>
  <c r="E135" i="6"/>
  <c r="F135" i="6"/>
  <c r="A137" i="6"/>
  <c r="C136" i="6"/>
  <c r="D136" i="6"/>
  <c r="E136" i="6"/>
  <c r="F136" i="6"/>
  <c r="A138" i="6"/>
  <c r="C137" i="6"/>
  <c r="D137" i="6"/>
  <c r="E137" i="6"/>
  <c r="F137" i="6"/>
  <c r="A139" i="6"/>
  <c r="C138" i="6"/>
  <c r="D138" i="6"/>
  <c r="E138" i="6"/>
  <c r="F138" i="6"/>
  <c r="A140" i="6"/>
  <c r="C139" i="6"/>
  <c r="D139" i="6"/>
  <c r="E139" i="6"/>
  <c r="F139" i="6"/>
  <c r="A141" i="6"/>
  <c r="C140" i="6"/>
  <c r="D140" i="6"/>
  <c r="E140" i="6"/>
  <c r="F140" i="6"/>
  <c r="A142" i="6"/>
  <c r="C141" i="6"/>
  <c r="D141" i="6"/>
  <c r="E141" i="6"/>
  <c r="F141" i="6"/>
  <c r="A143" i="6"/>
  <c r="C142" i="6"/>
  <c r="D142" i="6"/>
  <c r="E142" i="6"/>
  <c r="F142" i="6"/>
  <c r="A144" i="6"/>
  <c r="C143" i="6"/>
  <c r="D143" i="6"/>
  <c r="E143" i="6"/>
  <c r="F143" i="6"/>
  <c r="A145" i="6"/>
  <c r="C144" i="6"/>
  <c r="D144" i="6"/>
  <c r="E144" i="6"/>
  <c r="F144" i="6"/>
  <c r="A146" i="6"/>
  <c r="C145" i="6"/>
  <c r="D145" i="6"/>
  <c r="E145" i="6"/>
  <c r="F145" i="6"/>
  <c r="A147" i="6"/>
  <c r="C146" i="6"/>
  <c r="D146" i="6"/>
  <c r="E146" i="6"/>
  <c r="F146" i="6"/>
  <c r="A148" i="6"/>
  <c r="C147" i="6"/>
  <c r="D147" i="6"/>
  <c r="E147" i="6"/>
  <c r="F147" i="6"/>
  <c r="A149" i="6"/>
  <c r="C148" i="6"/>
  <c r="D148" i="6"/>
  <c r="E148" i="6"/>
  <c r="F148" i="6"/>
  <c r="A150" i="6"/>
  <c r="C149" i="6"/>
  <c r="D149" i="6"/>
  <c r="E149" i="6"/>
  <c r="F149" i="6"/>
  <c r="A151" i="6"/>
  <c r="C150" i="6"/>
  <c r="D150" i="6"/>
  <c r="E150" i="6"/>
  <c r="F150" i="6"/>
  <c r="A152" i="6"/>
  <c r="C151" i="6"/>
  <c r="D151" i="6"/>
  <c r="E151" i="6"/>
  <c r="F151" i="6"/>
  <c r="A153" i="6"/>
  <c r="C152" i="6"/>
  <c r="D152" i="6"/>
  <c r="E152" i="6"/>
  <c r="F152" i="6"/>
  <c r="A154" i="6"/>
  <c r="C153" i="6"/>
  <c r="D153" i="6"/>
  <c r="E153" i="6"/>
  <c r="F153" i="6"/>
  <c r="A155" i="6"/>
  <c r="C154" i="6"/>
  <c r="D154" i="6"/>
  <c r="E154" i="6"/>
  <c r="F154" i="6"/>
  <c r="A156" i="6"/>
  <c r="C155" i="6"/>
  <c r="D155" i="6"/>
  <c r="E155" i="6"/>
  <c r="F155" i="6"/>
  <c r="A157" i="6"/>
  <c r="C156" i="6"/>
  <c r="D156" i="6"/>
  <c r="E156" i="6"/>
  <c r="F156" i="6"/>
  <c r="A158" i="6"/>
  <c r="C157" i="6"/>
  <c r="D157" i="6"/>
  <c r="E157" i="6"/>
  <c r="F157" i="6"/>
  <c r="A159" i="6"/>
  <c r="C158" i="6"/>
  <c r="D158" i="6"/>
  <c r="E158" i="6"/>
  <c r="F158" i="6"/>
  <c r="A160" i="6"/>
  <c r="C159" i="6"/>
  <c r="D159" i="6"/>
  <c r="E159" i="6"/>
  <c r="F159" i="6"/>
  <c r="A161" i="6"/>
  <c r="C160" i="6"/>
  <c r="D160" i="6"/>
  <c r="E160" i="6"/>
  <c r="F160" i="6"/>
  <c r="A162" i="6"/>
  <c r="C161" i="6"/>
  <c r="D161" i="6"/>
  <c r="E161" i="6"/>
  <c r="F161" i="6"/>
  <c r="A163" i="6"/>
  <c r="C162" i="6"/>
  <c r="D162" i="6"/>
  <c r="E162" i="6"/>
  <c r="F162" i="6"/>
  <c r="A164" i="6"/>
  <c r="C163" i="6"/>
  <c r="D163" i="6"/>
  <c r="E163" i="6"/>
  <c r="F163" i="6"/>
  <c r="A165" i="6"/>
  <c r="C164" i="6"/>
  <c r="D164" i="6"/>
  <c r="E164" i="6"/>
  <c r="F164" i="6"/>
  <c r="A166" i="6"/>
  <c r="C165" i="6"/>
  <c r="D165" i="6"/>
  <c r="E165" i="6"/>
  <c r="F165" i="6"/>
  <c r="A167" i="6"/>
  <c r="C166" i="6"/>
  <c r="D166" i="6"/>
  <c r="E166" i="6"/>
  <c r="F166" i="6"/>
  <c r="A168" i="6"/>
  <c r="C167" i="6"/>
  <c r="D167" i="6"/>
  <c r="E167" i="6"/>
  <c r="F167" i="6"/>
  <c r="A169" i="6"/>
  <c r="C168" i="6"/>
  <c r="D168" i="6"/>
  <c r="E168" i="6"/>
  <c r="F168" i="6"/>
  <c r="A170" i="6"/>
  <c r="C169" i="6"/>
  <c r="D169" i="6"/>
  <c r="E169" i="6"/>
  <c r="F169" i="6"/>
  <c r="A171" i="6"/>
  <c r="C170" i="6"/>
  <c r="D170" i="6"/>
  <c r="E170" i="6"/>
  <c r="F170" i="6"/>
  <c r="A172" i="6"/>
  <c r="C171" i="6"/>
  <c r="D171" i="6"/>
  <c r="E171" i="6"/>
  <c r="F171" i="6"/>
  <c r="A173" i="6"/>
  <c r="C172" i="6"/>
  <c r="D172" i="6"/>
  <c r="E172" i="6"/>
  <c r="F172" i="6"/>
  <c r="A174" i="6"/>
  <c r="C173" i="6"/>
  <c r="D173" i="6"/>
  <c r="E173" i="6"/>
  <c r="F173" i="6"/>
  <c r="A175" i="6"/>
  <c r="C174" i="6"/>
  <c r="D174" i="6"/>
  <c r="E174" i="6"/>
  <c r="F174" i="6"/>
  <c r="A176" i="6"/>
  <c r="C175" i="6"/>
  <c r="D175" i="6"/>
  <c r="E175" i="6"/>
  <c r="F175" i="6"/>
  <c r="A177" i="6"/>
  <c r="C176" i="6"/>
  <c r="D176" i="6"/>
  <c r="E176" i="6"/>
  <c r="F176" i="6"/>
  <c r="A178" i="6"/>
  <c r="C177" i="6"/>
  <c r="D177" i="6"/>
  <c r="E177" i="6"/>
  <c r="F177" i="6"/>
  <c r="A179" i="6"/>
  <c r="C178" i="6"/>
  <c r="D178" i="6"/>
  <c r="E178" i="6"/>
  <c r="F178" i="6"/>
  <c r="A180" i="6"/>
  <c r="C179" i="6"/>
  <c r="D179" i="6"/>
  <c r="E179" i="6"/>
  <c r="F179" i="6"/>
  <c r="A181" i="6"/>
  <c r="C180" i="6"/>
  <c r="D180" i="6"/>
  <c r="E180" i="6"/>
  <c r="F180" i="6"/>
  <c r="A182" i="6"/>
  <c r="C181" i="6"/>
  <c r="D181" i="6"/>
  <c r="E181" i="6"/>
  <c r="F181" i="6"/>
  <c r="A183" i="6"/>
  <c r="C182" i="6"/>
  <c r="D182" i="6"/>
  <c r="E182" i="6"/>
  <c r="F182" i="6"/>
  <c r="A184" i="6"/>
  <c r="C183" i="6"/>
  <c r="D183" i="6"/>
  <c r="E183" i="6"/>
  <c r="F183" i="6"/>
  <c r="A185" i="6"/>
  <c r="C184" i="6"/>
  <c r="D184" i="6"/>
  <c r="E184" i="6"/>
  <c r="F184" i="6"/>
  <c r="A186" i="6"/>
  <c r="C185" i="6"/>
  <c r="D185" i="6"/>
  <c r="E185" i="6"/>
  <c r="F185" i="6"/>
  <c r="A187" i="6"/>
  <c r="C186" i="6"/>
  <c r="D186" i="6"/>
  <c r="E186" i="6"/>
  <c r="F186" i="6"/>
  <c r="A188" i="6"/>
  <c r="C187" i="6"/>
  <c r="D187" i="6"/>
  <c r="E187" i="6"/>
  <c r="F187" i="6"/>
  <c r="A189" i="6"/>
  <c r="C188" i="6"/>
  <c r="D188" i="6"/>
  <c r="E188" i="6"/>
  <c r="F188" i="6"/>
  <c r="A190" i="6"/>
  <c r="C189" i="6"/>
  <c r="D189" i="6"/>
  <c r="E189" i="6"/>
  <c r="F189" i="6"/>
  <c r="A191" i="6"/>
  <c r="C190" i="6"/>
  <c r="D190" i="6"/>
  <c r="E190" i="6"/>
  <c r="F190" i="6"/>
  <c r="A192" i="6"/>
  <c r="C191" i="6"/>
  <c r="D191" i="6"/>
  <c r="E191" i="6"/>
  <c r="F191" i="6"/>
  <c r="A193" i="6"/>
  <c r="C192" i="6"/>
  <c r="D192" i="6"/>
  <c r="E192" i="6"/>
  <c r="F192" i="6"/>
  <c r="A194" i="6"/>
  <c r="C193" i="6"/>
  <c r="D193" i="6"/>
  <c r="E193" i="6"/>
  <c r="F193" i="6"/>
  <c r="A195" i="6"/>
  <c r="C194" i="6"/>
  <c r="D194" i="6"/>
  <c r="E194" i="6"/>
  <c r="F194" i="6"/>
  <c r="A196" i="6"/>
  <c r="C195" i="6"/>
  <c r="D195" i="6"/>
  <c r="E195" i="6"/>
  <c r="F195" i="6"/>
  <c r="A197" i="6"/>
  <c r="C196" i="6"/>
  <c r="D196" i="6"/>
  <c r="E196" i="6"/>
  <c r="F196" i="6"/>
  <c r="A198" i="6"/>
  <c r="C197" i="6"/>
  <c r="D197" i="6"/>
  <c r="E197" i="6"/>
  <c r="F197" i="6"/>
  <c r="A199" i="6"/>
  <c r="C198" i="6"/>
  <c r="D198" i="6"/>
  <c r="E198" i="6"/>
  <c r="F198" i="6"/>
  <c r="A200" i="6"/>
  <c r="C199" i="6"/>
  <c r="D199" i="6"/>
  <c r="E199" i="6"/>
  <c r="F199" i="6"/>
  <c r="A201" i="6"/>
  <c r="C200" i="6"/>
  <c r="D200" i="6"/>
  <c r="E200" i="6"/>
  <c r="F200" i="6"/>
  <c r="A202" i="6"/>
  <c r="C201" i="6"/>
  <c r="D201" i="6"/>
  <c r="E201" i="6"/>
  <c r="F201" i="6"/>
  <c r="A203" i="6"/>
  <c r="C202" i="6"/>
  <c r="D202" i="6"/>
  <c r="E202" i="6"/>
  <c r="F202" i="6"/>
  <c r="A204" i="6"/>
  <c r="C203" i="6"/>
  <c r="D203" i="6"/>
  <c r="E203" i="6"/>
  <c r="F203" i="6"/>
  <c r="A205" i="6"/>
  <c r="C204" i="6"/>
  <c r="D204" i="6"/>
  <c r="E204" i="6"/>
  <c r="F204" i="6"/>
  <c r="A206" i="6"/>
  <c r="C205" i="6"/>
  <c r="D205" i="6"/>
  <c r="E205" i="6"/>
  <c r="F205" i="6"/>
  <c r="A207" i="6"/>
  <c r="C206" i="6"/>
  <c r="D206" i="6"/>
  <c r="E206" i="6"/>
  <c r="F206" i="6"/>
  <c r="A208" i="6"/>
  <c r="C207" i="6"/>
  <c r="D207" i="6"/>
  <c r="E207" i="6"/>
  <c r="F207" i="6"/>
  <c r="A209" i="6"/>
  <c r="C208" i="6"/>
  <c r="D208" i="6"/>
  <c r="E208" i="6"/>
  <c r="F208" i="6"/>
  <c r="A210" i="6"/>
  <c r="C209" i="6"/>
  <c r="D209" i="6"/>
  <c r="E209" i="6"/>
  <c r="F209" i="6"/>
  <c r="A211" i="6"/>
  <c r="C210" i="6"/>
  <c r="D210" i="6"/>
  <c r="E210" i="6"/>
  <c r="F210" i="6"/>
  <c r="A212" i="6"/>
  <c r="C211" i="6"/>
  <c r="D211" i="6"/>
  <c r="E211" i="6"/>
  <c r="F211" i="6"/>
  <c r="A213" i="6"/>
  <c r="C212" i="6"/>
  <c r="D212" i="6"/>
  <c r="E212" i="6"/>
  <c r="F212" i="6"/>
  <c r="A214" i="6"/>
  <c r="C213" i="6"/>
  <c r="D213" i="6"/>
  <c r="E213" i="6"/>
  <c r="F213" i="6"/>
  <c r="A215" i="6"/>
  <c r="C214" i="6"/>
  <c r="D214" i="6"/>
  <c r="E214" i="6"/>
  <c r="F214" i="6"/>
  <c r="A216" i="6"/>
  <c r="C215" i="6"/>
  <c r="D215" i="6"/>
  <c r="E215" i="6"/>
  <c r="F215" i="6"/>
  <c r="A217" i="6"/>
  <c r="C216" i="6"/>
  <c r="D216" i="6"/>
  <c r="E216" i="6"/>
  <c r="F216" i="6"/>
  <c r="A218" i="6"/>
  <c r="C217" i="6"/>
  <c r="D217" i="6"/>
  <c r="E217" i="6"/>
  <c r="F217" i="6"/>
  <c r="A219" i="6"/>
  <c r="C218" i="6"/>
  <c r="D218" i="6"/>
  <c r="E218" i="6"/>
  <c r="F218" i="6"/>
  <c r="A220" i="6"/>
  <c r="C219" i="6"/>
  <c r="D219" i="6"/>
  <c r="E219" i="6"/>
  <c r="F219" i="6"/>
  <c r="A221" i="6"/>
  <c r="C220" i="6"/>
  <c r="D220" i="6"/>
  <c r="E220" i="6"/>
  <c r="F220" i="6"/>
  <c r="A222" i="6"/>
  <c r="C221" i="6"/>
  <c r="D221" i="6"/>
  <c r="E221" i="6"/>
  <c r="F221" i="6"/>
  <c r="A223" i="6"/>
  <c r="C222" i="6"/>
  <c r="D222" i="6"/>
  <c r="E222" i="6"/>
  <c r="F222" i="6"/>
  <c r="A224" i="6"/>
  <c r="C223" i="6"/>
  <c r="D223" i="6"/>
  <c r="E223" i="6"/>
  <c r="F223" i="6"/>
  <c r="A225" i="6"/>
  <c r="C224" i="6"/>
  <c r="D224" i="6"/>
  <c r="E224" i="6"/>
  <c r="F224" i="6"/>
  <c r="A226" i="6"/>
  <c r="C225" i="6"/>
  <c r="D225" i="6"/>
  <c r="E225" i="6"/>
  <c r="F225" i="6"/>
  <c r="A227" i="6"/>
  <c r="C226" i="6"/>
  <c r="D226" i="6"/>
  <c r="E226" i="6"/>
  <c r="F226" i="6"/>
  <c r="A228" i="6"/>
  <c r="C227" i="6"/>
  <c r="D227" i="6"/>
  <c r="E227" i="6"/>
  <c r="F227" i="6"/>
  <c r="A229" i="6"/>
  <c r="C228" i="6"/>
  <c r="D228" i="6"/>
  <c r="E228" i="6"/>
  <c r="F228" i="6"/>
  <c r="A230" i="6"/>
  <c r="C229" i="6"/>
  <c r="D229" i="6"/>
  <c r="E229" i="6"/>
  <c r="F229" i="6"/>
  <c r="A231" i="6"/>
  <c r="C230" i="6"/>
  <c r="D230" i="6"/>
  <c r="E230" i="6"/>
  <c r="F230" i="6"/>
  <c r="A232" i="6"/>
  <c r="C231" i="6"/>
  <c r="D231" i="6"/>
  <c r="E231" i="6"/>
  <c r="F231" i="6"/>
  <c r="A233" i="6"/>
  <c r="C232" i="6"/>
  <c r="D232" i="6"/>
  <c r="E232" i="6"/>
  <c r="F232" i="6"/>
  <c r="A234" i="6"/>
  <c r="C233" i="6"/>
  <c r="D233" i="6"/>
  <c r="E233" i="6"/>
  <c r="F233" i="6"/>
  <c r="A235" i="6"/>
  <c r="C234" i="6"/>
  <c r="D234" i="6"/>
  <c r="E234" i="6"/>
  <c r="F234" i="6"/>
  <c r="A236" i="6"/>
  <c r="C235" i="6"/>
  <c r="D235" i="6"/>
  <c r="E235" i="6"/>
  <c r="F235" i="6"/>
  <c r="A237" i="6"/>
  <c r="C236" i="6"/>
  <c r="D236" i="6"/>
  <c r="E236" i="6"/>
  <c r="F236" i="6"/>
  <c r="A238" i="6"/>
  <c r="C237" i="6"/>
  <c r="D237" i="6"/>
  <c r="E237" i="6"/>
  <c r="F237" i="6"/>
  <c r="A239" i="6"/>
  <c r="C238" i="6"/>
  <c r="D238" i="6"/>
  <c r="E238" i="6"/>
  <c r="F238" i="6"/>
  <c r="A240" i="6"/>
  <c r="C239" i="6"/>
  <c r="D239" i="6"/>
  <c r="E239" i="6"/>
  <c r="F239" i="6"/>
  <c r="A241" i="6"/>
  <c r="C240" i="6"/>
  <c r="D240" i="6"/>
  <c r="E240" i="6"/>
  <c r="F240" i="6"/>
  <c r="A242" i="6"/>
  <c r="C241" i="6"/>
  <c r="D241" i="6"/>
  <c r="E241" i="6"/>
  <c r="F241" i="6"/>
  <c r="A243" i="6"/>
  <c r="C242" i="6"/>
  <c r="D242" i="6"/>
  <c r="E242" i="6"/>
  <c r="F242" i="6"/>
  <c r="A244" i="6"/>
  <c r="C243" i="6"/>
  <c r="D243" i="6"/>
  <c r="E243" i="6"/>
  <c r="F243" i="6"/>
  <c r="A245" i="6"/>
  <c r="C244" i="6"/>
  <c r="D244" i="6"/>
  <c r="E244" i="6"/>
  <c r="F244" i="6"/>
  <c r="A246" i="6"/>
  <c r="C245" i="6"/>
  <c r="D245" i="6"/>
  <c r="E245" i="6"/>
  <c r="F245" i="6"/>
  <c r="A247" i="6"/>
  <c r="C246" i="6"/>
  <c r="D246" i="6"/>
  <c r="E246" i="6"/>
  <c r="F246" i="6"/>
  <c r="A248" i="6"/>
  <c r="C247" i="6"/>
  <c r="D247" i="6"/>
  <c r="E247" i="6"/>
  <c r="F247" i="6"/>
  <c r="A249" i="6"/>
  <c r="C248" i="6"/>
  <c r="D248" i="6"/>
  <c r="E248" i="6"/>
  <c r="F248" i="6"/>
  <c r="A250" i="6"/>
  <c r="C249" i="6"/>
  <c r="D249" i="6"/>
  <c r="E249" i="6"/>
  <c r="F249" i="6"/>
  <c r="A251" i="6"/>
  <c r="C250" i="6"/>
  <c r="D250" i="6"/>
  <c r="E250" i="6"/>
  <c r="F250" i="6"/>
  <c r="A252" i="6"/>
  <c r="C251" i="6"/>
  <c r="D251" i="6"/>
  <c r="E251" i="6"/>
  <c r="F251" i="6"/>
  <c r="A253" i="6"/>
  <c r="C252" i="6"/>
  <c r="D252" i="6"/>
  <c r="E252" i="6"/>
  <c r="F252" i="6"/>
  <c r="A254" i="6"/>
  <c r="C253" i="6"/>
  <c r="D253" i="6"/>
  <c r="E253" i="6"/>
  <c r="F253" i="6"/>
  <c r="A255" i="6"/>
  <c r="C254" i="6"/>
  <c r="D254" i="6"/>
  <c r="E254" i="6"/>
  <c r="F254" i="6"/>
  <c r="A256" i="6"/>
  <c r="C255" i="6"/>
  <c r="D255" i="6"/>
  <c r="E255" i="6"/>
  <c r="F255" i="6"/>
  <c r="A257" i="6"/>
  <c r="C256" i="6"/>
  <c r="D256" i="6"/>
  <c r="E256" i="6"/>
  <c r="F256" i="6"/>
  <c r="A258" i="6"/>
  <c r="C257" i="6"/>
  <c r="D257" i="6"/>
  <c r="E257" i="6"/>
  <c r="F257" i="6"/>
  <c r="A259" i="6"/>
  <c r="C258" i="6"/>
  <c r="D258" i="6"/>
  <c r="E258" i="6"/>
  <c r="F258" i="6"/>
  <c r="A260" i="6"/>
  <c r="C259" i="6"/>
  <c r="D259" i="6"/>
  <c r="E259" i="6"/>
  <c r="F259" i="6"/>
  <c r="A261" i="6"/>
  <c r="C260" i="6"/>
  <c r="D260" i="6"/>
  <c r="E260" i="6"/>
  <c r="F260" i="6"/>
  <c r="A262" i="6"/>
  <c r="C261" i="6"/>
  <c r="D261" i="6"/>
  <c r="E261" i="6"/>
  <c r="F261" i="6"/>
  <c r="A263" i="6"/>
  <c r="C262" i="6"/>
  <c r="D262" i="6"/>
  <c r="E262" i="6"/>
  <c r="F262" i="6"/>
  <c r="A264" i="6"/>
  <c r="C263" i="6"/>
  <c r="D263" i="6"/>
  <c r="E263" i="6"/>
  <c r="F263" i="6"/>
  <c r="A265" i="6"/>
  <c r="C264" i="6"/>
  <c r="D264" i="6"/>
  <c r="E264" i="6"/>
  <c r="F264" i="6"/>
  <c r="A266" i="6"/>
  <c r="C265" i="6"/>
  <c r="D265" i="6"/>
  <c r="E265" i="6"/>
  <c r="F265" i="6"/>
  <c r="A267" i="6"/>
  <c r="C266" i="6"/>
  <c r="D266" i="6"/>
  <c r="E266" i="6"/>
  <c r="F266" i="6"/>
  <c r="A268" i="6"/>
  <c r="C267" i="6"/>
  <c r="D267" i="6"/>
  <c r="E267" i="6"/>
  <c r="F267" i="6"/>
  <c r="A269" i="6"/>
  <c r="C268" i="6"/>
  <c r="D268" i="6"/>
  <c r="E268" i="6"/>
  <c r="F268" i="6"/>
  <c r="A270" i="6"/>
  <c r="C269" i="6"/>
  <c r="D269" i="6"/>
  <c r="E269" i="6"/>
  <c r="F269" i="6"/>
  <c r="A271" i="6"/>
  <c r="C270" i="6"/>
  <c r="D270" i="6"/>
  <c r="E270" i="6"/>
  <c r="F270" i="6"/>
  <c r="A272" i="6"/>
  <c r="C271" i="6"/>
  <c r="D271" i="6"/>
  <c r="E271" i="6"/>
  <c r="F271" i="6"/>
  <c r="A273" i="6"/>
  <c r="C272" i="6"/>
  <c r="D272" i="6"/>
  <c r="E272" i="6"/>
  <c r="F272" i="6"/>
  <c r="A274" i="6"/>
  <c r="C273" i="6"/>
  <c r="D273" i="6"/>
  <c r="E273" i="6"/>
  <c r="F273" i="6"/>
  <c r="A275" i="6"/>
  <c r="C274" i="6"/>
  <c r="D274" i="6"/>
  <c r="E274" i="6"/>
  <c r="F274" i="6"/>
  <c r="A276" i="6"/>
  <c r="C275" i="6"/>
  <c r="D275" i="6"/>
  <c r="E275" i="6"/>
  <c r="F275" i="6"/>
  <c r="A277" i="6"/>
  <c r="C276" i="6"/>
  <c r="D276" i="6"/>
  <c r="E276" i="6"/>
  <c r="F276" i="6"/>
  <c r="A278" i="6"/>
  <c r="C277" i="6"/>
  <c r="D277" i="6"/>
  <c r="E277" i="6"/>
  <c r="F277" i="6"/>
  <c r="A279" i="6"/>
  <c r="C278" i="6"/>
  <c r="D278" i="6"/>
  <c r="E278" i="6"/>
  <c r="F278" i="6"/>
  <c r="A280" i="6"/>
  <c r="C279" i="6"/>
  <c r="D279" i="6"/>
  <c r="E279" i="6"/>
  <c r="F279" i="6"/>
  <c r="A281" i="6"/>
  <c r="C280" i="6"/>
  <c r="D280" i="6"/>
  <c r="E280" i="6"/>
  <c r="F280" i="6"/>
  <c r="A282" i="6"/>
  <c r="C281" i="6"/>
  <c r="D281" i="6"/>
  <c r="E281" i="6"/>
  <c r="F281" i="6"/>
  <c r="A283" i="6"/>
  <c r="C282" i="6"/>
  <c r="D282" i="6"/>
  <c r="E282" i="6"/>
  <c r="F282" i="6"/>
  <c r="A284" i="6"/>
  <c r="C283" i="6"/>
  <c r="D283" i="6"/>
  <c r="E283" i="6"/>
  <c r="F283" i="6"/>
  <c r="A285" i="6"/>
  <c r="C284" i="6"/>
  <c r="D284" i="6"/>
  <c r="E284" i="6"/>
  <c r="F284" i="6"/>
  <c r="A286" i="6"/>
  <c r="C285" i="6"/>
  <c r="D285" i="6"/>
  <c r="E285" i="6"/>
  <c r="F285" i="6"/>
  <c r="A287" i="6"/>
  <c r="C286" i="6"/>
  <c r="D286" i="6"/>
  <c r="E286" i="6"/>
  <c r="F286" i="6"/>
  <c r="A288" i="6"/>
  <c r="C287" i="6"/>
  <c r="D287" i="6"/>
  <c r="E287" i="6"/>
  <c r="F287" i="6"/>
  <c r="A289" i="6"/>
  <c r="C288" i="6"/>
  <c r="D288" i="6"/>
  <c r="E288" i="6"/>
  <c r="F288" i="6"/>
  <c r="A290" i="6"/>
  <c r="C289" i="6"/>
  <c r="D289" i="6"/>
  <c r="E289" i="6"/>
  <c r="F289" i="6"/>
  <c r="A291" i="6"/>
  <c r="C290" i="6"/>
  <c r="D290" i="6"/>
  <c r="E290" i="6"/>
  <c r="F290" i="6"/>
  <c r="A292" i="6"/>
  <c r="C291" i="6"/>
  <c r="D291" i="6"/>
  <c r="E291" i="6"/>
  <c r="F291" i="6"/>
  <c r="A293" i="6"/>
  <c r="C292" i="6"/>
  <c r="D292" i="6"/>
  <c r="E292" i="6"/>
  <c r="F292" i="6"/>
  <c r="A294" i="6"/>
  <c r="C293" i="6"/>
  <c r="D293" i="6"/>
  <c r="E293" i="6"/>
  <c r="F293" i="6"/>
  <c r="A295" i="6"/>
  <c r="C294" i="6"/>
  <c r="D294" i="6"/>
  <c r="E294" i="6"/>
  <c r="F294" i="6"/>
  <c r="A296" i="6"/>
  <c r="C295" i="6"/>
  <c r="D295" i="6"/>
  <c r="E295" i="6"/>
  <c r="F295" i="6"/>
  <c r="A297" i="6"/>
  <c r="C296" i="6"/>
  <c r="D296" i="6"/>
  <c r="E296" i="6"/>
  <c r="F296" i="6"/>
  <c r="A298" i="6"/>
  <c r="C297" i="6"/>
  <c r="D297" i="6"/>
  <c r="E297" i="6"/>
  <c r="F297" i="6"/>
  <c r="A299" i="6"/>
  <c r="C298" i="6"/>
  <c r="D298" i="6"/>
  <c r="E298" i="6"/>
  <c r="F298" i="6"/>
  <c r="A300" i="6"/>
  <c r="C299" i="6"/>
  <c r="D299" i="6"/>
  <c r="E299" i="6"/>
  <c r="F299" i="6"/>
  <c r="A301" i="6"/>
  <c r="C300" i="6"/>
  <c r="D300" i="6"/>
  <c r="E300" i="6"/>
  <c r="F300" i="6"/>
  <c r="A302" i="6"/>
  <c r="C301" i="6"/>
  <c r="D301" i="6"/>
  <c r="E301" i="6"/>
  <c r="F301" i="6"/>
  <c r="A303" i="6"/>
  <c r="C302" i="6"/>
  <c r="D302" i="6"/>
  <c r="E302" i="6"/>
  <c r="F302" i="6"/>
  <c r="A304" i="6"/>
  <c r="C303" i="6"/>
  <c r="D303" i="6"/>
  <c r="E303" i="6"/>
  <c r="F303" i="6"/>
  <c r="A305" i="6"/>
  <c r="C304" i="6"/>
  <c r="D304" i="6"/>
  <c r="E304" i="6"/>
  <c r="F304" i="6"/>
  <c r="A306" i="6"/>
  <c r="C305" i="6"/>
  <c r="D305" i="6"/>
  <c r="E305" i="6"/>
  <c r="F305" i="6"/>
  <c r="A307" i="6"/>
  <c r="C306" i="6"/>
  <c r="D306" i="6"/>
  <c r="E306" i="6"/>
  <c r="F306" i="6"/>
  <c r="A308" i="6"/>
  <c r="C307" i="6"/>
  <c r="D307" i="6"/>
  <c r="E307" i="6"/>
  <c r="F307" i="6"/>
  <c r="A309" i="6"/>
  <c r="C308" i="6"/>
  <c r="D308" i="6"/>
  <c r="E308" i="6"/>
  <c r="F308" i="6"/>
  <c r="A310" i="6"/>
  <c r="C309" i="6"/>
  <c r="D309" i="6"/>
  <c r="E309" i="6"/>
  <c r="F309" i="6"/>
  <c r="A311" i="6"/>
  <c r="C310" i="6"/>
  <c r="D310" i="6"/>
  <c r="E310" i="6"/>
  <c r="F310" i="6"/>
  <c r="A312" i="6"/>
  <c r="C311" i="6"/>
  <c r="D311" i="6"/>
  <c r="E311" i="6"/>
  <c r="F311" i="6"/>
  <c r="A313" i="6"/>
  <c r="C312" i="6"/>
  <c r="D312" i="6"/>
  <c r="E312" i="6"/>
  <c r="F312" i="6"/>
  <c r="A314" i="6"/>
  <c r="C313" i="6"/>
  <c r="D313" i="6"/>
  <c r="E313" i="6"/>
  <c r="F313" i="6"/>
  <c r="A315" i="6"/>
  <c r="C314" i="6"/>
  <c r="D314" i="6"/>
  <c r="E314" i="6"/>
  <c r="F314" i="6"/>
  <c r="A316" i="6"/>
  <c r="C315" i="6"/>
  <c r="D315" i="6"/>
  <c r="E315" i="6"/>
  <c r="F315" i="6"/>
  <c r="A317" i="6"/>
  <c r="C316" i="6"/>
  <c r="D316" i="6"/>
  <c r="E316" i="6"/>
  <c r="F316" i="6"/>
  <c r="A318" i="6"/>
  <c r="C317" i="6"/>
  <c r="D317" i="6"/>
  <c r="E317" i="6"/>
  <c r="F317" i="6"/>
  <c r="A319" i="6"/>
  <c r="C318" i="6"/>
  <c r="D318" i="6"/>
  <c r="E318" i="6"/>
  <c r="F318" i="6"/>
  <c r="A320" i="6"/>
  <c r="C319" i="6"/>
  <c r="D319" i="6"/>
  <c r="E319" i="6"/>
  <c r="F319" i="6"/>
  <c r="A321" i="6"/>
  <c r="C320" i="6"/>
  <c r="D320" i="6"/>
  <c r="E320" i="6"/>
  <c r="F320" i="6"/>
  <c r="A322" i="6"/>
  <c r="C321" i="6"/>
  <c r="D321" i="6"/>
  <c r="E321" i="6"/>
  <c r="F321" i="6"/>
  <c r="A323" i="6"/>
  <c r="C322" i="6"/>
  <c r="D322" i="6"/>
  <c r="E322" i="6"/>
  <c r="F322" i="6"/>
  <c r="A324" i="6"/>
  <c r="C323" i="6"/>
  <c r="D323" i="6"/>
  <c r="E323" i="6"/>
  <c r="F323" i="6"/>
  <c r="A325" i="6"/>
  <c r="C324" i="6"/>
  <c r="D324" i="6"/>
  <c r="E324" i="6"/>
  <c r="F324" i="6"/>
  <c r="A326" i="6"/>
  <c r="C325" i="6"/>
  <c r="D325" i="6"/>
  <c r="E325" i="6"/>
  <c r="F325" i="6"/>
  <c r="A327" i="6"/>
  <c r="C326" i="6"/>
  <c r="D326" i="6"/>
  <c r="E326" i="6"/>
  <c r="F326" i="6"/>
  <c r="A328" i="6"/>
  <c r="C327" i="6"/>
  <c r="D327" i="6"/>
  <c r="E327" i="6"/>
  <c r="F327" i="6"/>
  <c r="A329" i="6"/>
  <c r="C328" i="6"/>
  <c r="D328" i="6"/>
  <c r="E328" i="6"/>
  <c r="F328" i="6"/>
  <c r="A330" i="6"/>
  <c r="C329" i="6"/>
  <c r="D329" i="6"/>
  <c r="E329" i="6"/>
  <c r="F329" i="6"/>
  <c r="A331" i="6"/>
  <c r="C330" i="6"/>
  <c r="D330" i="6"/>
  <c r="E330" i="6"/>
  <c r="F330" i="6"/>
  <c r="A332" i="6"/>
  <c r="C331" i="6"/>
  <c r="D331" i="6"/>
  <c r="E331" i="6"/>
  <c r="F331" i="6"/>
  <c r="A333" i="6"/>
  <c r="C332" i="6"/>
  <c r="D332" i="6"/>
  <c r="E332" i="6"/>
  <c r="F332" i="6"/>
  <c r="A334" i="6"/>
  <c r="C333" i="6"/>
  <c r="D333" i="6"/>
  <c r="E333" i="6"/>
  <c r="F333" i="6"/>
  <c r="A335" i="6"/>
  <c r="C334" i="6"/>
  <c r="D334" i="6"/>
  <c r="E334" i="6"/>
  <c r="F334" i="6"/>
  <c r="A336" i="6"/>
  <c r="C335" i="6"/>
  <c r="D335" i="6"/>
  <c r="E335" i="6"/>
  <c r="F335" i="6"/>
  <c r="A337" i="6"/>
  <c r="C336" i="6"/>
  <c r="D336" i="6"/>
  <c r="E336" i="6"/>
  <c r="F336" i="6"/>
  <c r="A338" i="6"/>
  <c r="C337" i="6"/>
  <c r="D337" i="6"/>
  <c r="E337" i="6"/>
  <c r="F337" i="6"/>
  <c r="A339" i="6"/>
  <c r="C338" i="6"/>
  <c r="D338" i="6"/>
  <c r="E338" i="6"/>
  <c r="F338" i="6"/>
  <c r="A340" i="6"/>
  <c r="C339" i="6"/>
  <c r="D339" i="6"/>
  <c r="E339" i="6"/>
  <c r="F339" i="6"/>
  <c r="A341" i="6"/>
  <c r="C340" i="6"/>
  <c r="D340" i="6"/>
  <c r="E340" i="6"/>
  <c r="F340" i="6"/>
  <c r="A342" i="6"/>
  <c r="C341" i="6"/>
  <c r="D341" i="6"/>
  <c r="E341" i="6"/>
  <c r="F341" i="6"/>
  <c r="A343" i="6"/>
  <c r="C342" i="6"/>
  <c r="D342" i="6"/>
  <c r="E342" i="6"/>
  <c r="F342" i="6"/>
  <c r="A344" i="6"/>
  <c r="C343" i="6"/>
  <c r="D343" i="6"/>
  <c r="E343" i="6"/>
  <c r="F343" i="6"/>
  <c r="A345" i="6"/>
  <c r="C344" i="6"/>
  <c r="D344" i="6"/>
  <c r="E344" i="6"/>
  <c r="F344" i="6"/>
  <c r="A346" i="6"/>
  <c r="C345" i="6"/>
  <c r="D345" i="6"/>
  <c r="E345" i="6"/>
  <c r="F345" i="6"/>
  <c r="A347" i="6"/>
  <c r="C346" i="6"/>
  <c r="D346" i="6"/>
  <c r="E346" i="6"/>
  <c r="F346" i="6"/>
  <c r="A348" i="6"/>
  <c r="C347" i="6"/>
  <c r="D347" i="6"/>
  <c r="E347" i="6"/>
  <c r="F347" i="6"/>
  <c r="A349" i="6"/>
  <c r="C348" i="6"/>
  <c r="D348" i="6"/>
  <c r="E348" i="6"/>
  <c r="F348" i="6"/>
  <c r="A350" i="6"/>
  <c r="C349" i="6"/>
  <c r="D349" i="6"/>
  <c r="E349" i="6"/>
  <c r="F349" i="6"/>
  <c r="A351" i="6"/>
  <c r="C350" i="6"/>
  <c r="D350" i="6"/>
  <c r="E350" i="6"/>
  <c r="F350" i="6"/>
  <c r="A352" i="6"/>
  <c r="C351" i="6"/>
  <c r="D351" i="6"/>
  <c r="E351" i="6"/>
  <c r="F351" i="6"/>
  <c r="A353" i="6"/>
  <c r="C352" i="6"/>
  <c r="D352" i="6"/>
  <c r="E352" i="6"/>
  <c r="F352" i="6"/>
  <c r="A354" i="6"/>
  <c r="C353" i="6"/>
  <c r="D353" i="6"/>
  <c r="E353" i="6"/>
  <c r="F353" i="6"/>
  <c r="A355" i="6"/>
  <c r="C354" i="6"/>
  <c r="D354" i="6"/>
  <c r="E354" i="6"/>
  <c r="F354" i="6"/>
  <c r="A356" i="6"/>
  <c r="C355" i="6"/>
  <c r="D355" i="6"/>
  <c r="E355" i="6"/>
  <c r="F355" i="6"/>
  <c r="A357" i="6"/>
  <c r="C356" i="6"/>
  <c r="D356" i="6"/>
  <c r="E356" i="6"/>
  <c r="F356" i="6"/>
  <c r="A358" i="6"/>
  <c r="C357" i="6"/>
  <c r="D357" i="6"/>
  <c r="E357" i="6"/>
  <c r="F357" i="6"/>
  <c r="A359" i="6"/>
  <c r="C358" i="6"/>
  <c r="D358" i="6"/>
  <c r="E358" i="6"/>
  <c r="F358" i="6"/>
  <c r="A360" i="6"/>
  <c r="C359" i="6"/>
  <c r="D359" i="6"/>
  <c r="E359" i="6"/>
  <c r="F359" i="6"/>
  <c r="A361" i="6"/>
  <c r="C360" i="6"/>
  <c r="D360" i="6"/>
  <c r="E360" i="6"/>
  <c r="F360" i="6"/>
  <c r="A362" i="6"/>
  <c r="C361" i="6"/>
  <c r="D361" i="6"/>
  <c r="E361" i="6"/>
  <c r="F361" i="6"/>
  <c r="A363" i="6"/>
  <c r="C362" i="6"/>
  <c r="D362" i="6"/>
  <c r="E362" i="6"/>
  <c r="F362" i="6"/>
  <c r="A364" i="6"/>
  <c r="C363" i="6"/>
  <c r="D363" i="6"/>
  <c r="E363" i="6"/>
  <c r="F363" i="6"/>
  <c r="A365" i="6"/>
  <c r="C364" i="6"/>
  <c r="D364" i="6"/>
  <c r="E364" i="6"/>
  <c r="F364" i="6"/>
  <c r="A366" i="6"/>
  <c r="C365" i="6"/>
  <c r="D365" i="6"/>
  <c r="E365" i="6"/>
  <c r="F365" i="6"/>
  <c r="A367" i="6"/>
  <c r="C366" i="6"/>
  <c r="D366" i="6"/>
  <c r="E366" i="6"/>
  <c r="F366" i="6"/>
  <c r="A368" i="6"/>
  <c r="C367" i="6"/>
  <c r="D367" i="6"/>
  <c r="E367" i="6"/>
  <c r="F367" i="6"/>
  <c r="A369" i="6"/>
  <c r="C368" i="6"/>
  <c r="D368" i="6"/>
  <c r="E368" i="6"/>
  <c r="F368" i="6"/>
  <c r="A370" i="6"/>
  <c r="C369" i="6"/>
  <c r="D369" i="6"/>
  <c r="E369" i="6"/>
  <c r="F369" i="6"/>
  <c r="A371" i="6"/>
  <c r="C370" i="6"/>
  <c r="D370" i="6"/>
  <c r="E370" i="6"/>
  <c r="F370" i="6"/>
  <c r="A372" i="6"/>
  <c r="C371" i="6"/>
  <c r="D371" i="6"/>
  <c r="E371" i="6"/>
  <c r="F371" i="6"/>
  <c r="A373" i="6"/>
  <c r="C372" i="6"/>
  <c r="D372" i="6"/>
  <c r="E372" i="6"/>
  <c r="F372" i="6"/>
  <c r="A374" i="6"/>
  <c r="C373" i="6"/>
  <c r="D373" i="6"/>
  <c r="E373" i="6"/>
  <c r="F373" i="6"/>
  <c r="A375" i="6"/>
  <c r="C374" i="6"/>
  <c r="D374" i="6"/>
  <c r="E374" i="6"/>
  <c r="F374" i="6"/>
  <c r="A376" i="6"/>
  <c r="C375" i="6"/>
  <c r="D375" i="6"/>
  <c r="E375" i="6"/>
  <c r="F375" i="6"/>
  <c r="A377" i="6"/>
  <c r="C376" i="6"/>
  <c r="D376" i="6"/>
  <c r="E376" i="6"/>
  <c r="F376" i="6"/>
  <c r="A378" i="6"/>
  <c r="C377" i="6"/>
  <c r="D377" i="6"/>
  <c r="E377" i="6"/>
  <c r="F377" i="6"/>
  <c r="A379" i="6"/>
  <c r="C378" i="6"/>
  <c r="D378" i="6"/>
  <c r="E378" i="6"/>
  <c r="F378" i="6"/>
  <c r="A380" i="6"/>
  <c r="C379" i="6"/>
  <c r="D379" i="6"/>
  <c r="E379" i="6"/>
  <c r="F379" i="6"/>
  <c r="A381" i="6"/>
  <c r="C380" i="6"/>
  <c r="D380" i="6"/>
  <c r="E380" i="6"/>
  <c r="F380" i="6"/>
  <c r="A382" i="6"/>
  <c r="C381" i="6"/>
  <c r="D381" i="6"/>
  <c r="E381" i="6"/>
  <c r="F381" i="6"/>
  <c r="A383" i="6"/>
  <c r="C382" i="6"/>
  <c r="D382" i="6"/>
  <c r="E382" i="6"/>
  <c r="F382" i="6"/>
  <c r="A384" i="6"/>
  <c r="C383" i="6"/>
  <c r="D383" i="6"/>
  <c r="E383" i="6"/>
  <c r="F383" i="6"/>
  <c r="A385" i="6"/>
  <c r="C384" i="6"/>
  <c r="D384" i="6"/>
  <c r="E384" i="6"/>
  <c r="F384" i="6"/>
  <c r="A386" i="6"/>
  <c r="C385" i="6"/>
  <c r="D385" i="6"/>
  <c r="E385" i="6"/>
  <c r="F385" i="6"/>
  <c r="A387" i="6"/>
  <c r="C386" i="6"/>
  <c r="D386" i="6"/>
  <c r="E386" i="6"/>
  <c r="F386" i="6"/>
  <c r="A388" i="6"/>
  <c r="C387" i="6"/>
  <c r="D387" i="6"/>
  <c r="E387" i="6"/>
  <c r="F387" i="6"/>
  <c r="A389" i="6"/>
  <c r="C388" i="6"/>
  <c r="D388" i="6"/>
  <c r="E388" i="6"/>
  <c r="F388" i="6"/>
  <c r="A390" i="6"/>
  <c r="C389" i="6"/>
  <c r="D389" i="6"/>
  <c r="E389" i="6"/>
  <c r="F389" i="6"/>
  <c r="A391" i="6"/>
  <c r="C390" i="6"/>
  <c r="D390" i="6"/>
  <c r="E390" i="6"/>
  <c r="F390" i="6"/>
  <c r="A392" i="6"/>
  <c r="C391" i="6"/>
  <c r="D391" i="6"/>
  <c r="E391" i="6"/>
  <c r="F391" i="6"/>
  <c r="A393" i="6"/>
  <c r="C392" i="6"/>
  <c r="D392" i="6"/>
  <c r="E392" i="6"/>
  <c r="F392" i="6"/>
  <c r="A394" i="6"/>
  <c r="C393" i="6"/>
  <c r="D393" i="6"/>
  <c r="E393" i="6"/>
  <c r="F393" i="6"/>
  <c r="A395" i="6"/>
  <c r="C394" i="6"/>
  <c r="D394" i="6"/>
  <c r="E394" i="6"/>
  <c r="F394" i="6"/>
  <c r="A396" i="6"/>
  <c r="C395" i="6"/>
  <c r="D395" i="6"/>
  <c r="E395" i="6"/>
  <c r="F395" i="6"/>
  <c r="A397" i="6"/>
  <c r="C396" i="6"/>
  <c r="D396" i="6"/>
  <c r="E396" i="6"/>
  <c r="F396" i="6"/>
  <c r="A398" i="6"/>
  <c r="C397" i="6"/>
  <c r="D397" i="6"/>
  <c r="E397" i="6"/>
  <c r="F397" i="6"/>
  <c r="A399" i="6"/>
  <c r="C398" i="6"/>
  <c r="D398" i="6"/>
  <c r="E398" i="6"/>
  <c r="F398" i="6"/>
  <c r="A400" i="6"/>
  <c r="C399" i="6"/>
  <c r="D399" i="6"/>
  <c r="E399" i="6"/>
  <c r="F399" i="6"/>
  <c r="A401" i="6"/>
  <c r="C400" i="6"/>
  <c r="D400" i="6"/>
  <c r="E400" i="6"/>
  <c r="F400" i="6"/>
  <c r="A402" i="6"/>
  <c r="C401" i="6"/>
  <c r="D401" i="6"/>
  <c r="E401" i="6"/>
  <c r="F401" i="6"/>
  <c r="A403" i="6"/>
  <c r="C402" i="6"/>
  <c r="D402" i="6"/>
  <c r="E402" i="6"/>
  <c r="F402" i="6"/>
  <c r="A404" i="6"/>
  <c r="C403" i="6"/>
  <c r="D403" i="6"/>
  <c r="E403" i="6"/>
  <c r="F403" i="6"/>
  <c r="A405" i="6"/>
  <c r="C404" i="6"/>
  <c r="D404" i="6"/>
  <c r="E404" i="6"/>
  <c r="F404" i="6"/>
  <c r="A406" i="6"/>
  <c r="C405" i="6"/>
  <c r="D405" i="6"/>
  <c r="E405" i="6"/>
  <c r="F405" i="6"/>
  <c r="A407" i="6"/>
  <c r="C406" i="6"/>
  <c r="D406" i="6"/>
  <c r="E406" i="6"/>
  <c r="F406" i="6"/>
  <c r="A408" i="6"/>
  <c r="C407" i="6"/>
  <c r="D407" i="6"/>
  <c r="E407" i="6"/>
  <c r="F407" i="6"/>
  <c r="A409" i="6"/>
  <c r="C408" i="6"/>
  <c r="D408" i="6"/>
  <c r="E408" i="6"/>
  <c r="F408" i="6"/>
  <c r="A410" i="6"/>
  <c r="C409" i="6"/>
  <c r="D409" i="6"/>
  <c r="E409" i="6"/>
  <c r="F409" i="6"/>
  <c r="A411" i="6"/>
  <c r="C410" i="6"/>
  <c r="D410" i="6"/>
  <c r="E410" i="6"/>
  <c r="F410" i="6"/>
  <c r="A412" i="6"/>
  <c r="C411" i="6"/>
  <c r="D411" i="6"/>
  <c r="E411" i="6"/>
  <c r="F411" i="6"/>
  <c r="A413" i="6"/>
  <c r="C412" i="6"/>
  <c r="D412" i="6"/>
  <c r="E412" i="6"/>
  <c r="F412" i="6"/>
  <c r="A414" i="6"/>
  <c r="C413" i="6"/>
  <c r="D413" i="6"/>
  <c r="E413" i="6"/>
  <c r="F413" i="6"/>
  <c r="A415" i="6"/>
  <c r="C414" i="6"/>
  <c r="D414" i="6"/>
  <c r="E414" i="6"/>
  <c r="F414" i="6"/>
  <c r="A416" i="6"/>
  <c r="C415" i="6"/>
  <c r="D415" i="6"/>
  <c r="E415" i="6"/>
  <c r="F415" i="6"/>
  <c r="A417" i="6"/>
  <c r="C416" i="6"/>
  <c r="D416" i="6"/>
  <c r="E416" i="6"/>
  <c r="F416" i="6"/>
  <c r="A418" i="6"/>
  <c r="C417" i="6"/>
  <c r="D417" i="6"/>
  <c r="E417" i="6"/>
  <c r="F417" i="6"/>
  <c r="A419" i="6"/>
  <c r="C418" i="6"/>
  <c r="D418" i="6"/>
  <c r="E418" i="6"/>
  <c r="F418" i="6"/>
  <c r="A420" i="6"/>
  <c r="C419" i="6"/>
  <c r="D419" i="6"/>
  <c r="E419" i="6"/>
  <c r="F419" i="6"/>
  <c r="A421" i="6"/>
  <c r="C420" i="6"/>
  <c r="D420" i="6"/>
  <c r="E420" i="6"/>
  <c r="F420" i="6"/>
  <c r="A422" i="6"/>
  <c r="C421" i="6"/>
  <c r="D421" i="6"/>
  <c r="E421" i="6"/>
  <c r="F421" i="6"/>
  <c r="A423" i="6"/>
  <c r="C422" i="6"/>
  <c r="D422" i="6"/>
  <c r="E422" i="6"/>
  <c r="F422" i="6"/>
  <c r="A424" i="6"/>
  <c r="C423" i="6"/>
  <c r="D423" i="6"/>
  <c r="E423" i="6"/>
  <c r="F423" i="6"/>
  <c r="A425" i="6"/>
  <c r="C424" i="6"/>
  <c r="D424" i="6"/>
  <c r="E424" i="6"/>
  <c r="F424" i="6"/>
  <c r="A426" i="6"/>
  <c r="C425" i="6"/>
  <c r="D425" i="6"/>
  <c r="E425" i="6"/>
  <c r="F425" i="6"/>
  <c r="A427" i="6"/>
  <c r="C426" i="6"/>
  <c r="D426" i="6"/>
  <c r="E426" i="6"/>
  <c r="F426" i="6"/>
  <c r="A428" i="6"/>
  <c r="C427" i="6"/>
  <c r="D427" i="6"/>
  <c r="E427" i="6"/>
  <c r="F427" i="6"/>
  <c r="A429" i="6"/>
  <c r="C428" i="6"/>
  <c r="D428" i="6"/>
  <c r="E428" i="6"/>
  <c r="F428" i="6"/>
  <c r="A430" i="6"/>
  <c r="C429" i="6"/>
  <c r="D429" i="6"/>
  <c r="E429" i="6"/>
  <c r="F429" i="6"/>
  <c r="A431" i="6"/>
  <c r="C430" i="6"/>
  <c r="D430" i="6"/>
  <c r="E430" i="6"/>
  <c r="F430" i="6"/>
  <c r="A432" i="6"/>
  <c r="C431" i="6"/>
  <c r="D431" i="6"/>
  <c r="E431" i="6"/>
  <c r="F431" i="6"/>
  <c r="A433" i="6"/>
  <c r="C432" i="6"/>
  <c r="D432" i="6"/>
  <c r="E432" i="6"/>
  <c r="F432" i="6"/>
  <c r="A434" i="6"/>
  <c r="C433" i="6"/>
  <c r="D433" i="6"/>
  <c r="E433" i="6"/>
  <c r="F433" i="6"/>
  <c r="A435" i="6"/>
  <c r="C434" i="6"/>
  <c r="D434" i="6"/>
  <c r="E434" i="6"/>
  <c r="F434" i="6"/>
  <c r="A436" i="6"/>
  <c r="C435" i="6"/>
  <c r="D435" i="6"/>
  <c r="E435" i="6"/>
  <c r="F435" i="6"/>
  <c r="A437" i="6"/>
  <c r="C436" i="6"/>
  <c r="D436" i="6"/>
  <c r="E436" i="6"/>
  <c r="F436" i="6"/>
  <c r="A438" i="6"/>
  <c r="C437" i="6"/>
  <c r="D437" i="6"/>
  <c r="E437" i="6"/>
  <c r="F437" i="6"/>
  <c r="A439" i="6"/>
  <c r="C438" i="6"/>
  <c r="D438" i="6"/>
  <c r="E438" i="6"/>
  <c r="F438" i="6"/>
  <c r="A440" i="6"/>
  <c r="C439" i="6"/>
  <c r="D439" i="6"/>
  <c r="E439" i="6"/>
  <c r="F439" i="6"/>
  <c r="A441" i="6"/>
  <c r="C440" i="6"/>
  <c r="D440" i="6"/>
  <c r="E440" i="6"/>
  <c r="F440" i="6"/>
  <c r="A442" i="6"/>
  <c r="C441" i="6"/>
  <c r="D441" i="6"/>
  <c r="E441" i="6"/>
  <c r="F441" i="6"/>
  <c r="A443" i="6"/>
  <c r="C442" i="6"/>
  <c r="D442" i="6"/>
  <c r="E442" i="6"/>
  <c r="F442" i="6"/>
  <c r="A444" i="6"/>
  <c r="C443" i="6"/>
  <c r="D443" i="6"/>
  <c r="E443" i="6"/>
  <c r="F443" i="6"/>
  <c r="A445" i="6"/>
  <c r="C444" i="6"/>
  <c r="D444" i="6"/>
  <c r="E444" i="6"/>
  <c r="F444" i="6"/>
  <c r="A446" i="6"/>
  <c r="C445" i="6"/>
  <c r="D445" i="6"/>
  <c r="E445" i="6"/>
  <c r="F445" i="6"/>
  <c r="A447" i="6"/>
  <c r="C446" i="6"/>
  <c r="D446" i="6"/>
  <c r="E446" i="6"/>
  <c r="F446" i="6"/>
  <c r="A448" i="6"/>
  <c r="C447" i="6"/>
  <c r="D447" i="6"/>
  <c r="E447" i="6"/>
  <c r="F447" i="6"/>
  <c r="A449" i="6"/>
  <c r="C448" i="6"/>
  <c r="D448" i="6"/>
  <c r="E448" i="6"/>
  <c r="F448" i="6"/>
  <c r="A450" i="6"/>
  <c r="C449" i="6"/>
  <c r="D449" i="6"/>
  <c r="E449" i="6"/>
  <c r="F449" i="6"/>
  <c r="A451" i="6"/>
  <c r="C450" i="6"/>
  <c r="D450" i="6"/>
  <c r="E450" i="6"/>
  <c r="F450" i="6"/>
  <c r="A452" i="6"/>
  <c r="C451" i="6"/>
  <c r="D451" i="6"/>
  <c r="E451" i="6"/>
  <c r="F451" i="6"/>
  <c r="A453" i="6"/>
  <c r="C452" i="6"/>
  <c r="D452" i="6"/>
  <c r="E452" i="6"/>
  <c r="F452" i="6"/>
  <c r="A454" i="6"/>
  <c r="C453" i="6"/>
  <c r="D453" i="6"/>
  <c r="E453" i="6"/>
  <c r="F453" i="6"/>
  <c r="A455" i="6"/>
  <c r="C454" i="6"/>
  <c r="D454" i="6"/>
  <c r="E454" i="6"/>
  <c r="F454" i="6"/>
  <c r="A456" i="6"/>
  <c r="C455" i="6"/>
  <c r="D455" i="6"/>
  <c r="E455" i="6"/>
  <c r="F455" i="6"/>
  <c r="A457" i="6"/>
  <c r="C456" i="6"/>
  <c r="D456" i="6"/>
  <c r="E456" i="6"/>
  <c r="F456" i="6"/>
  <c r="A458" i="6"/>
  <c r="C457" i="6"/>
  <c r="D457" i="6"/>
  <c r="E457" i="6"/>
  <c r="F457" i="6"/>
  <c r="A459" i="6"/>
  <c r="C458" i="6"/>
  <c r="D458" i="6"/>
  <c r="E458" i="6"/>
  <c r="F458" i="6"/>
  <c r="A460" i="6"/>
  <c r="C459" i="6"/>
  <c r="D459" i="6"/>
  <c r="E459" i="6"/>
  <c r="F459" i="6"/>
  <c r="A461" i="6"/>
  <c r="C460" i="6"/>
  <c r="D460" i="6"/>
  <c r="E460" i="6"/>
  <c r="F460" i="6"/>
  <c r="A462" i="6"/>
  <c r="C461" i="6"/>
  <c r="D461" i="6"/>
  <c r="E461" i="6"/>
  <c r="F461" i="6"/>
  <c r="A463" i="6"/>
  <c r="C462" i="6"/>
  <c r="D462" i="6"/>
  <c r="E462" i="6"/>
  <c r="F462" i="6"/>
  <c r="A464" i="6"/>
  <c r="C463" i="6"/>
  <c r="D463" i="6"/>
  <c r="E463" i="6"/>
  <c r="F463" i="6"/>
  <c r="A465" i="6"/>
  <c r="C464" i="6"/>
  <c r="D464" i="6"/>
  <c r="E464" i="6"/>
  <c r="F464" i="6"/>
  <c r="A466" i="6"/>
  <c r="C465" i="6"/>
  <c r="D465" i="6"/>
  <c r="E465" i="6"/>
  <c r="F465" i="6"/>
  <c r="A467" i="6"/>
  <c r="C466" i="6"/>
  <c r="D466" i="6"/>
  <c r="E466" i="6"/>
  <c r="F466" i="6"/>
  <c r="A468" i="6"/>
  <c r="C467" i="6"/>
  <c r="D467" i="6"/>
  <c r="E467" i="6"/>
  <c r="F467" i="6"/>
  <c r="A469" i="6"/>
  <c r="C468" i="6"/>
  <c r="D468" i="6"/>
  <c r="E468" i="6"/>
  <c r="F468" i="6"/>
  <c r="A470" i="6"/>
  <c r="C469" i="6"/>
  <c r="D469" i="6"/>
  <c r="E469" i="6"/>
  <c r="F469" i="6"/>
  <c r="A471" i="6"/>
  <c r="C470" i="6"/>
  <c r="D470" i="6"/>
  <c r="E470" i="6"/>
  <c r="F470" i="6"/>
  <c r="A472" i="6"/>
  <c r="C471" i="6"/>
  <c r="D471" i="6"/>
  <c r="E471" i="6"/>
  <c r="F471" i="6"/>
  <c r="A473" i="6"/>
  <c r="C472" i="6"/>
  <c r="D472" i="6"/>
  <c r="E472" i="6"/>
  <c r="F472" i="6"/>
  <c r="A474" i="6"/>
  <c r="C473" i="6"/>
  <c r="D473" i="6"/>
  <c r="E473" i="6"/>
  <c r="F473" i="6"/>
  <c r="A475" i="6"/>
  <c r="C474" i="6"/>
  <c r="D474" i="6"/>
  <c r="E474" i="6"/>
  <c r="F474" i="6"/>
  <c r="A476" i="6"/>
  <c r="C475" i="6"/>
  <c r="D475" i="6"/>
  <c r="E475" i="6"/>
  <c r="F475" i="6"/>
  <c r="A477" i="6"/>
  <c r="C476" i="6"/>
  <c r="D476" i="6"/>
  <c r="E476" i="6"/>
  <c r="F476" i="6"/>
  <c r="A478" i="6"/>
  <c r="C477" i="6"/>
  <c r="D477" i="6"/>
  <c r="E477" i="6"/>
  <c r="F477" i="6"/>
  <c r="A479" i="6"/>
  <c r="C478" i="6"/>
  <c r="D478" i="6"/>
  <c r="E478" i="6"/>
  <c r="F478" i="6"/>
  <c r="A480" i="6"/>
  <c r="C479" i="6"/>
  <c r="D479" i="6"/>
  <c r="E479" i="6"/>
  <c r="F479" i="6"/>
  <c r="A481" i="6"/>
  <c r="C480" i="6"/>
  <c r="D480" i="6"/>
  <c r="E480" i="6"/>
  <c r="F480" i="6"/>
  <c r="A482" i="6"/>
  <c r="C481" i="6"/>
  <c r="D481" i="6"/>
  <c r="E481" i="6"/>
  <c r="F481" i="6"/>
  <c r="A483" i="6"/>
  <c r="C482" i="6"/>
  <c r="D482" i="6"/>
  <c r="E482" i="6"/>
  <c r="F482" i="6"/>
  <c r="A484" i="6"/>
  <c r="C483" i="6"/>
  <c r="D483" i="6"/>
  <c r="E483" i="6"/>
  <c r="F483" i="6"/>
  <c r="A485" i="6"/>
  <c r="C484" i="6"/>
  <c r="D484" i="6"/>
  <c r="E484" i="6"/>
  <c r="F484" i="6"/>
  <c r="A486" i="6"/>
  <c r="C485" i="6"/>
  <c r="D485" i="6"/>
  <c r="E485" i="6"/>
  <c r="F485" i="6"/>
  <c r="A487" i="6"/>
  <c r="C486" i="6"/>
  <c r="D486" i="6"/>
  <c r="E486" i="6"/>
  <c r="F486" i="6"/>
  <c r="A488" i="6"/>
  <c r="C487" i="6"/>
  <c r="D487" i="6"/>
  <c r="E487" i="6"/>
  <c r="F487" i="6"/>
  <c r="A489" i="6"/>
  <c r="C488" i="6"/>
  <c r="D488" i="6"/>
  <c r="E488" i="6"/>
  <c r="F488" i="6"/>
  <c r="A490" i="6"/>
  <c r="C489" i="6"/>
  <c r="D489" i="6"/>
  <c r="E489" i="6"/>
  <c r="F489" i="6"/>
  <c r="A491" i="6"/>
  <c r="C490" i="6"/>
  <c r="D490" i="6"/>
  <c r="E490" i="6"/>
  <c r="F490" i="6"/>
  <c r="A492" i="6"/>
  <c r="C491" i="6"/>
  <c r="D491" i="6"/>
  <c r="E491" i="6"/>
  <c r="F491" i="6"/>
  <c r="A493" i="6"/>
  <c r="C492" i="6"/>
  <c r="D492" i="6"/>
  <c r="E492" i="6"/>
  <c r="F492" i="6"/>
  <c r="A494" i="6"/>
  <c r="C493" i="6"/>
  <c r="D493" i="6"/>
  <c r="E493" i="6"/>
  <c r="F493" i="6"/>
  <c r="A495" i="6"/>
  <c r="C494" i="6"/>
  <c r="D494" i="6"/>
  <c r="E494" i="6"/>
  <c r="F494" i="6"/>
  <c r="A496" i="6"/>
  <c r="C495" i="6"/>
  <c r="D495" i="6"/>
  <c r="E495" i="6"/>
  <c r="F495" i="6"/>
  <c r="A497" i="6"/>
  <c r="C496" i="6"/>
  <c r="D496" i="6"/>
  <c r="E496" i="6"/>
  <c r="F496" i="6"/>
  <c r="A498" i="6"/>
  <c r="C497" i="6"/>
  <c r="D497" i="6"/>
  <c r="E497" i="6"/>
  <c r="F497" i="6"/>
  <c r="A499" i="6"/>
  <c r="C498" i="6"/>
  <c r="D498" i="6"/>
  <c r="E498" i="6"/>
  <c r="F498" i="6"/>
  <c r="A500" i="6"/>
  <c r="C499" i="6"/>
  <c r="D499" i="6"/>
  <c r="E499" i="6"/>
  <c r="F499" i="6"/>
  <c r="A501" i="6"/>
  <c r="C500" i="6"/>
  <c r="D500" i="6"/>
  <c r="E500" i="6"/>
  <c r="F500" i="6"/>
  <c r="C501" i="6"/>
  <c r="D501" i="6"/>
  <c r="E501" i="6"/>
  <c r="F501" i="6"/>
  <c r="G2" i="6"/>
  <c r="F2" i="6"/>
  <c r="E2" i="6"/>
  <c r="O1" i="6" l="1"/>
  <c r="A5" i="6"/>
  <c r="U2" i="4" l="1"/>
  <c r="T2" i="4"/>
  <c r="S2" i="4"/>
  <c r="R2" i="4"/>
  <c r="Q2" i="4"/>
  <c r="P2" i="4"/>
  <c r="O2" i="4"/>
  <c r="N2" i="4"/>
  <c r="K2" i="4"/>
  <c r="E2" i="4"/>
  <c r="EP4" i="4" l="1"/>
  <c r="EO4" i="4" s="1"/>
  <c r="EP5" i="4"/>
  <c r="EO5" i="4" s="1"/>
  <c r="EP6" i="4"/>
  <c r="EO6" i="4" s="1"/>
  <c r="EP7" i="4"/>
  <c r="EO7" i="4" s="1"/>
  <c r="EP8" i="4"/>
  <c r="EO8" i="4" s="1"/>
  <c r="EP9" i="4"/>
  <c r="EO9" i="4" s="1"/>
  <c r="EP10" i="4"/>
  <c r="EO10" i="4" s="1"/>
  <c r="EP11" i="4"/>
  <c r="EO11" i="4" s="1"/>
  <c r="EP12" i="4"/>
  <c r="EO12" i="4" s="1"/>
  <c r="EP13" i="4"/>
  <c r="EO13" i="4" s="1"/>
  <c r="EP14" i="4"/>
  <c r="EO14" i="4" s="1"/>
  <c r="EP15" i="4"/>
  <c r="EO15" i="4" s="1"/>
  <c r="EP16" i="4"/>
  <c r="EO16" i="4" s="1"/>
  <c r="EP17" i="4"/>
  <c r="EO17" i="4" s="1"/>
  <c r="EP18" i="4"/>
  <c r="EO18" i="4" s="1"/>
  <c r="EP19" i="4"/>
  <c r="EO19" i="4" s="1"/>
  <c r="EP20" i="4"/>
  <c r="EO20" i="4" s="1"/>
  <c r="EP21" i="4"/>
  <c r="EO21" i="4" s="1"/>
  <c r="EP2" i="4"/>
  <c r="EO2" i="4" s="1"/>
  <c r="EP3" i="4"/>
  <c r="EO3" i="4" s="1"/>
  <c r="L2" i="4"/>
  <c r="M2" i="4" l="1"/>
  <c r="DF2" i="4"/>
  <c r="BB2" i="4"/>
  <c r="EC2" i="4"/>
  <c r="DU2" i="4"/>
  <c r="DM2" i="4"/>
  <c r="DE2" i="4"/>
  <c r="CG2" i="4"/>
  <c r="BQ2" i="4"/>
  <c r="BI2" i="4"/>
  <c r="BA2" i="4"/>
  <c r="AS2" i="4"/>
  <c r="DL2" i="4"/>
  <c r="DD2" i="4"/>
  <c r="CN2" i="4"/>
  <c r="CF2" i="4"/>
  <c r="BX2" i="4"/>
  <c r="BP2" i="4"/>
  <c r="BH2" i="4"/>
  <c r="AZ2" i="4"/>
  <c r="AR2" i="4"/>
  <c r="DN2" i="4"/>
  <c r="AT2" i="4"/>
  <c r="EI2" i="4"/>
  <c r="EA2" i="4"/>
  <c r="DS2" i="4"/>
  <c r="DK2" i="4"/>
  <c r="DC2" i="4"/>
  <c r="CM2" i="4"/>
  <c r="CE2" i="4"/>
  <c r="BO2" i="4"/>
  <c r="BG2" i="4"/>
  <c r="AY2" i="4"/>
  <c r="AQ2" i="4"/>
  <c r="AI2" i="4"/>
  <c r="BJ2" i="4"/>
  <c r="EH2" i="4"/>
  <c r="DZ2" i="4"/>
  <c r="DR2" i="4"/>
  <c r="DJ2" i="4"/>
  <c r="DB2" i="4"/>
  <c r="CL2" i="4"/>
  <c r="CD2" i="4"/>
  <c r="BV2" i="4"/>
  <c r="BN2" i="4"/>
  <c r="BF2" i="4"/>
  <c r="AX2" i="4"/>
  <c r="AP2" i="4"/>
  <c r="ED2" i="4"/>
  <c r="BZ2" i="4"/>
  <c r="DT2" i="4"/>
  <c r="EG2" i="4"/>
  <c r="DY2" i="4"/>
  <c r="DQ2" i="4"/>
  <c r="DI2" i="4"/>
  <c r="DA2" i="4"/>
  <c r="CC2" i="4"/>
  <c r="BU2" i="4"/>
  <c r="BM2" i="4"/>
  <c r="BE2" i="4"/>
  <c r="AW2" i="4"/>
  <c r="DV2" i="4"/>
  <c r="BR2" i="4"/>
  <c r="EB2" i="4"/>
  <c r="EF2" i="4"/>
  <c r="DX2" i="4"/>
  <c r="DP2" i="4"/>
  <c r="DH2" i="4"/>
  <c r="CZ2" i="4"/>
  <c r="CJ2" i="4"/>
  <c r="CB2" i="4"/>
  <c r="BT2" i="4"/>
  <c r="BL2" i="4"/>
  <c r="BD2" i="4"/>
  <c r="AV2" i="4"/>
  <c r="EE2" i="4"/>
  <c r="DW2" i="4"/>
  <c r="DO2" i="4"/>
  <c r="DG2" i="4"/>
  <c r="CI2" i="4"/>
  <c r="CA2" i="4"/>
  <c r="BS2" i="4"/>
  <c r="BK2" i="4"/>
  <c r="BC2" i="4"/>
  <c r="AU2" i="4"/>
  <c r="AM2" i="4"/>
  <c r="EQ3" i="4"/>
  <c r="AL2" i="4" s="1"/>
  <c r="EQ4" i="4"/>
  <c r="EQ5" i="4"/>
  <c r="CO2" i="4" s="1"/>
  <c r="EQ7" i="4"/>
  <c r="EQ8" i="4"/>
  <c r="EQ10" i="4"/>
  <c r="EQ11" i="4"/>
  <c r="EQ12" i="4"/>
  <c r="EQ13" i="4"/>
  <c r="EQ15" i="4"/>
  <c r="EQ18" i="4"/>
  <c r="EQ19" i="4"/>
  <c r="EQ20" i="4"/>
  <c r="EQ21" i="4"/>
  <c r="EQ2" i="4"/>
  <c r="BW2" i="4" s="1"/>
  <c r="EQ6" i="4"/>
  <c r="EQ9" i="4"/>
  <c r="EQ14" i="4"/>
  <c r="EQ16" i="4"/>
  <c r="EQ17" i="4"/>
  <c r="J59" i="1"/>
  <c r="EJ2" i="4" s="1"/>
  <c r="CK2" i="4" l="1"/>
  <c r="CH2" i="4"/>
  <c r="CR2" i="4"/>
  <c r="CQ2" i="4"/>
  <c r="AO2" i="4"/>
  <c r="AN2" i="4"/>
  <c r="AC2" i="4"/>
  <c r="AK2" i="4"/>
  <c r="AJ2" i="4"/>
  <c r="AH2" i="4"/>
  <c r="AG2" i="4"/>
  <c r="AF2" i="4"/>
  <c r="AE2" i="4"/>
  <c r="AD2" i="4"/>
  <c r="AB2" i="4"/>
  <c r="AA2" i="4"/>
  <c r="Z2" i="4"/>
  <c r="Y2" i="4"/>
  <c r="W2" i="4"/>
  <c r="X2" i="4"/>
  <c r="CS2" i="4"/>
  <c r="CY2" i="4"/>
  <c r="CX2" i="4"/>
  <c r="CW2" i="4"/>
  <c r="CV2" i="4"/>
  <c r="CU2" i="4"/>
  <c r="BY2" i="4"/>
  <c r="V2" i="4"/>
  <c r="CT2" i="4"/>
  <c r="CP2" i="4"/>
  <c r="ER4" i="4"/>
  <c r="ER5" i="4"/>
  <c r="ER13" i="4"/>
  <c r="ER3" i="4"/>
  <c r="ER12" i="4"/>
  <c r="ER21" i="4"/>
  <c r="ER10" i="4"/>
  <c r="ER11" i="4"/>
  <c r="ER9" i="4"/>
  <c r="ER20" i="4"/>
  <c r="ER7" i="4"/>
  <c r="ER18" i="4"/>
  <c r="ER6" i="4"/>
  <c r="ER8" i="4"/>
  <c r="ER17" i="4"/>
  <c r="ER16" i="4"/>
  <c r="ER19" i="4"/>
  <c r="ER15" i="4"/>
  <c r="ER14" i="4"/>
  <c r="ER22" i="4" l="1"/>
  <c r="A3" i="6"/>
  <c r="A4" i="6"/>
  <c r="N15" i="3"/>
  <c r="O15" i="3"/>
  <c r="N16" i="3"/>
  <c r="O16" i="3"/>
  <c r="N17" i="3"/>
  <c r="O17" i="3"/>
  <c r="N18" i="3"/>
  <c r="O18" i="3"/>
  <c r="N19" i="3"/>
  <c r="O19" i="3"/>
  <c r="N20" i="3"/>
  <c r="O20" i="3"/>
  <c r="N21" i="3"/>
  <c r="O21" i="3"/>
  <c r="N22" i="3"/>
  <c r="O22" i="3"/>
  <c r="N23" i="3"/>
  <c r="O23" i="3"/>
  <c r="N24" i="3"/>
  <c r="O24" i="3"/>
  <c r="N25" i="3"/>
  <c r="O25" i="3"/>
  <c r="N26" i="3"/>
  <c r="O26" i="3"/>
  <c r="N27" i="3"/>
  <c r="O27" i="3"/>
  <c r="N28" i="3"/>
  <c r="O28" i="3"/>
  <c r="N29" i="3"/>
  <c r="O29" i="3"/>
  <c r="N30" i="3"/>
  <c r="O30" i="3"/>
  <c r="N31" i="3"/>
  <c r="O31" i="3"/>
  <c r="N32" i="3"/>
  <c r="O32" i="3"/>
  <c r="N33" i="3"/>
  <c r="O33" i="3"/>
  <c r="N34" i="3"/>
  <c r="O34" i="3"/>
  <c r="N35" i="3"/>
  <c r="O35" i="3"/>
  <c r="N36" i="3"/>
  <c r="O36" i="3"/>
  <c r="N37" i="3"/>
  <c r="O37" i="3"/>
  <c r="N38" i="3"/>
  <c r="O38" i="3"/>
  <c r="N39" i="3"/>
  <c r="O39" i="3"/>
  <c r="N40" i="3"/>
  <c r="O40" i="3"/>
  <c r="N41" i="3"/>
  <c r="O41" i="3"/>
  <c r="N42" i="3"/>
  <c r="O42" i="3"/>
  <c r="N43" i="3"/>
  <c r="O43" i="3"/>
  <c r="N44" i="3"/>
  <c r="O44" i="3"/>
  <c r="N45" i="3"/>
  <c r="O45" i="3"/>
  <c r="N46" i="3"/>
  <c r="O46" i="3"/>
  <c r="N47" i="3"/>
  <c r="O47" i="3"/>
  <c r="N48" i="3"/>
  <c r="O48" i="3"/>
  <c r="N49" i="3"/>
  <c r="O49" i="3"/>
  <c r="N50" i="3"/>
  <c r="O50" i="3"/>
  <c r="N51" i="3"/>
  <c r="O51" i="3"/>
  <c r="N52" i="3"/>
  <c r="O52" i="3"/>
  <c r="N53" i="3"/>
  <c r="O53" i="3"/>
  <c r="N54" i="3"/>
  <c r="O54" i="3"/>
  <c r="N55" i="3"/>
  <c r="O55" i="3"/>
  <c r="N56" i="3"/>
  <c r="O56" i="3"/>
  <c r="N57" i="3"/>
  <c r="O57" i="3"/>
  <c r="N58" i="3"/>
  <c r="O58" i="3"/>
  <c r="N59" i="3"/>
  <c r="O59" i="3"/>
  <c r="N60" i="3"/>
  <c r="O60" i="3"/>
  <c r="N61" i="3"/>
  <c r="O61" i="3"/>
  <c r="N62" i="3"/>
  <c r="O62" i="3"/>
  <c r="N63" i="3"/>
  <c r="O63" i="3"/>
  <c r="N64" i="3"/>
  <c r="O64" i="3"/>
  <c r="N65" i="3"/>
  <c r="O65" i="3"/>
  <c r="N66" i="3"/>
  <c r="O66" i="3"/>
  <c r="N67" i="3"/>
  <c r="O67" i="3"/>
  <c r="N68" i="3"/>
  <c r="O68" i="3"/>
  <c r="N69" i="3"/>
  <c r="O69" i="3"/>
  <c r="N70" i="3"/>
  <c r="O70" i="3"/>
  <c r="N71" i="3"/>
  <c r="O71" i="3"/>
  <c r="N72" i="3"/>
  <c r="O72" i="3"/>
  <c r="N73" i="3"/>
  <c r="O73" i="3"/>
  <c r="N74" i="3"/>
  <c r="O74" i="3"/>
  <c r="N75" i="3"/>
  <c r="O75" i="3"/>
  <c r="N76" i="3"/>
  <c r="O76" i="3"/>
  <c r="N77" i="3"/>
  <c r="O77" i="3"/>
  <c r="N78" i="3"/>
  <c r="O78" i="3"/>
  <c r="N79" i="3"/>
  <c r="O79" i="3"/>
  <c r="N80" i="3"/>
  <c r="O80" i="3"/>
  <c r="N81" i="3"/>
  <c r="O81" i="3"/>
  <c r="N82" i="3"/>
  <c r="O82" i="3"/>
  <c r="N83" i="3"/>
  <c r="O83" i="3"/>
  <c r="N84" i="3"/>
  <c r="O84" i="3"/>
  <c r="N85" i="3"/>
  <c r="O85" i="3"/>
  <c r="N86" i="3"/>
  <c r="O86" i="3"/>
  <c r="N87" i="3"/>
  <c r="O87" i="3"/>
  <c r="N88" i="3"/>
  <c r="O88" i="3"/>
  <c r="N89" i="3"/>
  <c r="O89" i="3"/>
  <c r="N90" i="3"/>
  <c r="O90" i="3"/>
  <c r="N91" i="3"/>
  <c r="O91" i="3"/>
  <c r="N92" i="3"/>
  <c r="O92" i="3"/>
  <c r="N93" i="3"/>
  <c r="O93" i="3"/>
  <c r="N94" i="3"/>
  <c r="O94" i="3"/>
  <c r="N95" i="3"/>
  <c r="O95" i="3"/>
  <c r="N96" i="3"/>
  <c r="O96" i="3"/>
  <c r="N97" i="3"/>
  <c r="O97" i="3"/>
  <c r="N98" i="3"/>
  <c r="O98" i="3"/>
  <c r="N99" i="3"/>
  <c r="O99" i="3"/>
  <c r="N100" i="3"/>
  <c r="O100" i="3"/>
  <c r="N101" i="3"/>
  <c r="O101" i="3"/>
  <c r="N102" i="3"/>
  <c r="O102" i="3"/>
  <c r="N103" i="3"/>
  <c r="O103" i="3"/>
  <c r="N104" i="3"/>
  <c r="O104" i="3"/>
  <c r="N105" i="3"/>
  <c r="O105" i="3"/>
  <c r="N106" i="3"/>
  <c r="O106" i="3"/>
  <c r="N107" i="3"/>
  <c r="O107" i="3"/>
  <c r="N108" i="3"/>
  <c r="O108" i="3"/>
  <c r="N109" i="3"/>
  <c r="O109" i="3"/>
  <c r="N110" i="3"/>
  <c r="O110" i="3"/>
  <c r="N111" i="3"/>
  <c r="O111" i="3"/>
  <c r="N112" i="3"/>
  <c r="O112" i="3"/>
  <c r="N113" i="3"/>
  <c r="O113" i="3"/>
  <c r="N114" i="3"/>
  <c r="O114" i="3"/>
  <c r="N115" i="3"/>
  <c r="O115" i="3"/>
  <c r="N116" i="3"/>
  <c r="O116" i="3"/>
  <c r="N117" i="3"/>
  <c r="O117" i="3"/>
  <c r="N118" i="3"/>
  <c r="O118" i="3"/>
  <c r="N119" i="3"/>
  <c r="O119" i="3"/>
  <c r="N120" i="3"/>
  <c r="O120" i="3"/>
  <c r="N121" i="3"/>
  <c r="O121" i="3"/>
  <c r="N122" i="3"/>
  <c r="O122" i="3"/>
  <c r="N123" i="3"/>
  <c r="O123" i="3"/>
  <c r="N124" i="3"/>
  <c r="O124" i="3"/>
  <c r="N125" i="3"/>
  <c r="O125" i="3"/>
  <c r="N126" i="3"/>
  <c r="O126" i="3"/>
  <c r="N127" i="3"/>
  <c r="O127" i="3"/>
  <c r="N128" i="3"/>
  <c r="O128" i="3"/>
  <c r="N129" i="3"/>
  <c r="O129" i="3"/>
  <c r="N130" i="3"/>
  <c r="O130" i="3"/>
  <c r="N131" i="3"/>
  <c r="O131" i="3"/>
  <c r="N132" i="3"/>
  <c r="O132" i="3"/>
  <c r="N133" i="3"/>
  <c r="O133" i="3"/>
  <c r="N134" i="3"/>
  <c r="O134" i="3"/>
  <c r="N135" i="3"/>
  <c r="O135" i="3"/>
  <c r="N136" i="3"/>
  <c r="O136" i="3"/>
  <c r="N137" i="3"/>
  <c r="O137" i="3"/>
  <c r="N138" i="3"/>
  <c r="O138" i="3"/>
  <c r="N139" i="3"/>
  <c r="O139" i="3"/>
  <c r="N140" i="3"/>
  <c r="O140" i="3"/>
  <c r="N141" i="3"/>
  <c r="O141" i="3"/>
  <c r="N142" i="3"/>
  <c r="O142" i="3"/>
  <c r="N143" i="3"/>
  <c r="O143" i="3"/>
  <c r="N144" i="3"/>
  <c r="O144" i="3"/>
  <c r="N145" i="3"/>
  <c r="O145" i="3"/>
  <c r="N146" i="3"/>
  <c r="O146" i="3"/>
  <c r="N147" i="3"/>
  <c r="O147" i="3"/>
  <c r="N148" i="3"/>
  <c r="O148" i="3"/>
  <c r="N149" i="3"/>
  <c r="O149" i="3"/>
  <c r="N150" i="3"/>
  <c r="O150" i="3"/>
  <c r="N151" i="3"/>
  <c r="O151" i="3"/>
  <c r="N152" i="3"/>
  <c r="O152" i="3"/>
  <c r="N153" i="3"/>
  <c r="O153" i="3"/>
  <c r="N154" i="3"/>
  <c r="O154" i="3"/>
  <c r="N155" i="3"/>
  <c r="O155" i="3"/>
  <c r="N156" i="3"/>
  <c r="O156" i="3"/>
  <c r="N157" i="3"/>
  <c r="O157" i="3"/>
  <c r="N158" i="3"/>
  <c r="O158" i="3"/>
  <c r="N159" i="3"/>
  <c r="O159" i="3"/>
  <c r="N160" i="3"/>
  <c r="O160" i="3"/>
  <c r="N161" i="3"/>
  <c r="O161" i="3"/>
  <c r="N162" i="3"/>
  <c r="O162" i="3"/>
  <c r="N163" i="3"/>
  <c r="O163" i="3"/>
  <c r="N164" i="3"/>
  <c r="O164" i="3"/>
  <c r="N165" i="3"/>
  <c r="O165" i="3"/>
  <c r="N166" i="3"/>
  <c r="O166" i="3"/>
  <c r="N167" i="3"/>
  <c r="O167" i="3"/>
  <c r="N168" i="3"/>
  <c r="O168" i="3"/>
  <c r="N169" i="3"/>
  <c r="O169" i="3"/>
  <c r="N170" i="3"/>
  <c r="O170" i="3"/>
  <c r="N171" i="3"/>
  <c r="O171" i="3"/>
  <c r="N172" i="3"/>
  <c r="O172" i="3"/>
  <c r="N173" i="3"/>
  <c r="O173" i="3"/>
  <c r="N174" i="3"/>
  <c r="O174" i="3"/>
  <c r="N175" i="3"/>
  <c r="O175" i="3"/>
  <c r="N176" i="3"/>
  <c r="O176" i="3"/>
  <c r="N177" i="3"/>
  <c r="O177" i="3"/>
  <c r="N178" i="3"/>
  <c r="O178" i="3"/>
  <c r="N179" i="3"/>
  <c r="O179" i="3"/>
  <c r="N180" i="3"/>
  <c r="O180" i="3"/>
  <c r="N181" i="3"/>
  <c r="O181" i="3"/>
  <c r="N182" i="3"/>
  <c r="O182" i="3"/>
  <c r="N183" i="3"/>
  <c r="O183" i="3"/>
  <c r="N184" i="3"/>
  <c r="O184" i="3"/>
  <c r="N185" i="3"/>
  <c r="O185" i="3"/>
  <c r="N186" i="3"/>
  <c r="O186" i="3"/>
  <c r="N187" i="3"/>
  <c r="O187" i="3"/>
  <c r="N188" i="3"/>
  <c r="O188" i="3"/>
  <c r="N189" i="3"/>
  <c r="O189" i="3"/>
  <c r="N190" i="3"/>
  <c r="O190" i="3"/>
  <c r="N191" i="3"/>
  <c r="O191" i="3"/>
  <c r="N192" i="3"/>
  <c r="O192" i="3"/>
  <c r="N193" i="3"/>
  <c r="O193" i="3"/>
  <c r="N194" i="3"/>
  <c r="O194" i="3"/>
  <c r="N195" i="3"/>
  <c r="O195" i="3"/>
  <c r="N196" i="3"/>
  <c r="O196" i="3"/>
  <c r="N197" i="3"/>
  <c r="O197" i="3"/>
  <c r="N198" i="3"/>
  <c r="O198" i="3"/>
  <c r="N199" i="3"/>
  <c r="O199" i="3"/>
  <c r="N200" i="3"/>
  <c r="O200" i="3"/>
  <c r="N201" i="3"/>
  <c r="O201" i="3"/>
  <c r="N202" i="3"/>
  <c r="O202" i="3"/>
  <c r="N203" i="3"/>
  <c r="O203" i="3"/>
  <c r="N204" i="3"/>
  <c r="O204" i="3"/>
  <c r="N205" i="3"/>
  <c r="O205" i="3"/>
  <c r="N206" i="3"/>
  <c r="O206" i="3"/>
  <c r="N207" i="3"/>
  <c r="O207" i="3"/>
  <c r="N208" i="3"/>
  <c r="O208" i="3"/>
  <c r="N209" i="3"/>
  <c r="O209" i="3"/>
  <c r="N210" i="3"/>
  <c r="O210" i="3"/>
  <c r="N211" i="3"/>
  <c r="O211" i="3"/>
  <c r="N212" i="3"/>
  <c r="O212" i="3"/>
  <c r="N213" i="3"/>
  <c r="O213" i="3"/>
  <c r="N214" i="3"/>
  <c r="O214" i="3"/>
  <c r="N215" i="3"/>
  <c r="O215" i="3"/>
  <c r="N216" i="3"/>
  <c r="O216" i="3"/>
  <c r="N217" i="3"/>
  <c r="O217" i="3"/>
  <c r="N218" i="3"/>
  <c r="O218" i="3"/>
  <c r="N219" i="3"/>
  <c r="O219" i="3"/>
  <c r="N220" i="3"/>
  <c r="O220" i="3"/>
  <c r="N221" i="3"/>
  <c r="O221" i="3"/>
  <c r="N222" i="3"/>
  <c r="O222" i="3"/>
  <c r="N223" i="3"/>
  <c r="O223" i="3"/>
  <c r="N224" i="3"/>
  <c r="O224" i="3"/>
  <c r="N225" i="3"/>
  <c r="O225" i="3"/>
  <c r="N226" i="3"/>
  <c r="O226" i="3"/>
  <c r="N227" i="3"/>
  <c r="O227" i="3"/>
  <c r="N228" i="3"/>
  <c r="O228" i="3"/>
  <c r="N229" i="3"/>
  <c r="O229" i="3"/>
  <c r="N230" i="3"/>
  <c r="O230" i="3"/>
  <c r="N231" i="3"/>
  <c r="O231" i="3"/>
  <c r="N232" i="3"/>
  <c r="O232" i="3"/>
  <c r="N233" i="3"/>
  <c r="O233" i="3"/>
  <c r="N234" i="3"/>
  <c r="O234" i="3"/>
  <c r="N235" i="3"/>
  <c r="O235" i="3"/>
  <c r="N236" i="3"/>
  <c r="O236" i="3"/>
  <c r="N237" i="3"/>
  <c r="O237" i="3"/>
  <c r="N238" i="3"/>
  <c r="O238" i="3"/>
  <c r="N239" i="3"/>
  <c r="O239" i="3"/>
  <c r="N240" i="3"/>
  <c r="O240" i="3"/>
  <c r="N241" i="3"/>
  <c r="O241" i="3"/>
  <c r="N242" i="3"/>
  <c r="O242" i="3"/>
  <c r="N243" i="3"/>
  <c r="O243" i="3"/>
  <c r="N244" i="3"/>
  <c r="O244" i="3"/>
  <c r="N245" i="3"/>
  <c r="O245" i="3"/>
  <c r="N246" i="3"/>
  <c r="O246" i="3"/>
  <c r="N247" i="3"/>
  <c r="O247" i="3"/>
  <c r="N248" i="3"/>
  <c r="O248" i="3"/>
  <c r="N249" i="3"/>
  <c r="O249" i="3"/>
  <c r="N250" i="3"/>
  <c r="O250" i="3"/>
  <c r="N251" i="3"/>
  <c r="O251" i="3"/>
  <c r="N252" i="3"/>
  <c r="O252" i="3"/>
  <c r="N253" i="3"/>
  <c r="O253" i="3"/>
  <c r="N254" i="3"/>
  <c r="O254" i="3"/>
  <c r="N255" i="3"/>
  <c r="O255" i="3"/>
  <c r="N256" i="3"/>
  <c r="O256" i="3"/>
  <c r="N257" i="3"/>
  <c r="O257" i="3"/>
  <c r="N258" i="3"/>
  <c r="O258" i="3"/>
  <c r="N259" i="3"/>
  <c r="O259" i="3"/>
  <c r="N260" i="3"/>
  <c r="O260" i="3"/>
  <c r="N261" i="3"/>
  <c r="O261" i="3"/>
  <c r="N262" i="3"/>
  <c r="O262" i="3"/>
  <c r="N263" i="3"/>
  <c r="O263" i="3"/>
  <c r="N264" i="3"/>
  <c r="O264" i="3"/>
  <c r="N265" i="3"/>
  <c r="O265" i="3"/>
  <c r="N266" i="3"/>
  <c r="O266" i="3"/>
  <c r="N267" i="3"/>
  <c r="O267" i="3"/>
  <c r="N268" i="3"/>
  <c r="O268" i="3"/>
  <c r="N269" i="3"/>
  <c r="O269" i="3"/>
  <c r="N270" i="3"/>
  <c r="O270" i="3"/>
  <c r="N271" i="3"/>
  <c r="O271" i="3"/>
  <c r="N272" i="3"/>
  <c r="O272" i="3"/>
  <c r="N273" i="3"/>
  <c r="O273" i="3"/>
  <c r="N274" i="3"/>
  <c r="O274" i="3"/>
  <c r="N275" i="3"/>
  <c r="O275" i="3"/>
  <c r="N276" i="3"/>
  <c r="O276" i="3"/>
  <c r="N277" i="3"/>
  <c r="O277" i="3"/>
  <c r="N278" i="3"/>
  <c r="O278" i="3"/>
  <c r="N279" i="3"/>
  <c r="O279" i="3"/>
  <c r="N280" i="3"/>
  <c r="O280" i="3"/>
  <c r="N281" i="3"/>
  <c r="O281" i="3"/>
  <c r="N282" i="3"/>
  <c r="O282" i="3"/>
  <c r="N283" i="3"/>
  <c r="O283" i="3"/>
  <c r="N284" i="3"/>
  <c r="O284" i="3"/>
  <c r="N285" i="3"/>
  <c r="O285" i="3"/>
  <c r="N286" i="3"/>
  <c r="O286" i="3"/>
  <c r="N287" i="3"/>
  <c r="O287" i="3"/>
  <c r="N288" i="3"/>
  <c r="O288" i="3"/>
  <c r="N289" i="3"/>
  <c r="O289" i="3"/>
  <c r="N290" i="3"/>
  <c r="O290" i="3"/>
  <c r="N291" i="3"/>
  <c r="O291" i="3"/>
  <c r="N292" i="3"/>
  <c r="O292" i="3"/>
  <c r="N293" i="3"/>
  <c r="O293" i="3"/>
  <c r="N294" i="3"/>
  <c r="O294" i="3"/>
  <c r="N295" i="3"/>
  <c r="O295" i="3"/>
  <c r="N296" i="3"/>
  <c r="O296" i="3"/>
  <c r="N297" i="3"/>
  <c r="O297" i="3"/>
  <c r="N298" i="3"/>
  <c r="O298" i="3"/>
  <c r="N299" i="3"/>
  <c r="O299" i="3"/>
  <c r="N300" i="3"/>
  <c r="O300" i="3"/>
  <c r="N301" i="3"/>
  <c r="O301" i="3"/>
  <c r="N302" i="3"/>
  <c r="O302" i="3"/>
  <c r="N303" i="3"/>
  <c r="O303" i="3"/>
  <c r="N304" i="3"/>
  <c r="O304" i="3"/>
  <c r="N305" i="3"/>
  <c r="O305" i="3"/>
  <c r="N306" i="3"/>
  <c r="O306" i="3"/>
  <c r="N307" i="3"/>
  <c r="O307" i="3"/>
  <c r="N308" i="3"/>
  <c r="O308" i="3"/>
  <c r="N309" i="3"/>
  <c r="O309" i="3"/>
  <c r="N310" i="3"/>
  <c r="O310" i="3"/>
  <c r="N311" i="3"/>
  <c r="O311" i="3"/>
  <c r="N312" i="3"/>
  <c r="O312" i="3"/>
  <c r="N313" i="3"/>
  <c r="O313" i="3"/>
  <c r="N314" i="3"/>
  <c r="O314" i="3"/>
  <c r="N315" i="3"/>
  <c r="O315" i="3"/>
  <c r="N316" i="3"/>
  <c r="O316" i="3"/>
  <c r="N317" i="3"/>
  <c r="O317" i="3"/>
  <c r="N318" i="3"/>
  <c r="O318" i="3"/>
  <c r="N319" i="3"/>
  <c r="O319" i="3"/>
  <c r="N320" i="3"/>
  <c r="O320" i="3"/>
  <c r="N321" i="3"/>
  <c r="O321" i="3"/>
  <c r="N322" i="3"/>
  <c r="O322" i="3"/>
  <c r="N323" i="3"/>
  <c r="O323" i="3"/>
  <c r="N324" i="3"/>
  <c r="O324" i="3"/>
  <c r="N325" i="3"/>
  <c r="O325" i="3"/>
  <c r="N326" i="3"/>
  <c r="O326" i="3"/>
  <c r="N327" i="3"/>
  <c r="O327" i="3"/>
  <c r="N328" i="3"/>
  <c r="O328" i="3"/>
  <c r="N329" i="3"/>
  <c r="O329" i="3"/>
  <c r="N330" i="3"/>
  <c r="O330" i="3"/>
  <c r="N331" i="3"/>
  <c r="O331" i="3"/>
  <c r="N332" i="3"/>
  <c r="O332" i="3"/>
  <c r="N333" i="3"/>
  <c r="O333" i="3"/>
  <c r="N334" i="3"/>
  <c r="O334" i="3"/>
  <c r="N335" i="3"/>
  <c r="O335" i="3"/>
  <c r="N336" i="3"/>
  <c r="O336" i="3"/>
  <c r="N337" i="3"/>
  <c r="O337" i="3"/>
  <c r="N338" i="3"/>
  <c r="O338" i="3"/>
  <c r="N339" i="3"/>
  <c r="O339" i="3"/>
  <c r="N340" i="3"/>
  <c r="O340" i="3"/>
  <c r="N341" i="3"/>
  <c r="O341" i="3"/>
  <c r="N342" i="3"/>
  <c r="O342" i="3"/>
  <c r="N343" i="3"/>
  <c r="O343" i="3"/>
  <c r="N344" i="3"/>
  <c r="O344" i="3"/>
  <c r="N345" i="3"/>
  <c r="O345" i="3"/>
  <c r="N346" i="3"/>
  <c r="O346" i="3"/>
  <c r="N347" i="3"/>
  <c r="O347" i="3"/>
  <c r="N348" i="3"/>
  <c r="O348" i="3"/>
  <c r="N349" i="3"/>
  <c r="O349" i="3"/>
  <c r="N350" i="3"/>
  <c r="O350" i="3"/>
  <c r="N351" i="3"/>
  <c r="O351" i="3"/>
  <c r="N352" i="3"/>
  <c r="O352" i="3"/>
  <c r="N353" i="3"/>
  <c r="O353" i="3"/>
  <c r="N354" i="3"/>
  <c r="O354" i="3"/>
  <c r="N355" i="3"/>
  <c r="O355" i="3"/>
  <c r="N356" i="3"/>
  <c r="O356" i="3"/>
  <c r="N357" i="3"/>
  <c r="O357" i="3"/>
  <c r="N358" i="3"/>
  <c r="O358" i="3"/>
  <c r="N359" i="3"/>
  <c r="O359" i="3"/>
  <c r="N360" i="3"/>
  <c r="O360" i="3"/>
  <c r="N361" i="3"/>
  <c r="O361" i="3"/>
  <c r="N362" i="3"/>
  <c r="O362" i="3"/>
  <c r="N363" i="3"/>
  <c r="O363" i="3"/>
  <c r="N364" i="3"/>
  <c r="O364" i="3"/>
  <c r="N365" i="3"/>
  <c r="O365" i="3"/>
  <c r="N366" i="3"/>
  <c r="O366" i="3"/>
  <c r="N367" i="3"/>
  <c r="O367" i="3"/>
  <c r="N368" i="3"/>
  <c r="O368" i="3"/>
  <c r="N369" i="3"/>
  <c r="O369" i="3"/>
  <c r="N370" i="3"/>
  <c r="O370" i="3"/>
  <c r="N371" i="3"/>
  <c r="O371" i="3"/>
  <c r="N372" i="3"/>
  <c r="O372" i="3"/>
  <c r="N373" i="3"/>
  <c r="O373" i="3"/>
  <c r="N374" i="3"/>
  <c r="O374" i="3"/>
  <c r="N375" i="3"/>
  <c r="O375" i="3"/>
  <c r="N376" i="3"/>
  <c r="O376" i="3"/>
  <c r="N377" i="3"/>
  <c r="O377" i="3"/>
  <c r="N378" i="3"/>
  <c r="O378" i="3"/>
  <c r="N379" i="3"/>
  <c r="O379" i="3"/>
  <c r="N380" i="3"/>
  <c r="O380" i="3"/>
  <c r="N381" i="3"/>
  <c r="O381" i="3"/>
  <c r="N382" i="3"/>
  <c r="O382" i="3"/>
  <c r="N383" i="3"/>
  <c r="O383" i="3"/>
  <c r="N384" i="3"/>
  <c r="O384" i="3"/>
  <c r="N385" i="3"/>
  <c r="O385" i="3"/>
  <c r="N386" i="3"/>
  <c r="O386" i="3"/>
  <c r="N387" i="3"/>
  <c r="O387" i="3"/>
  <c r="N388" i="3"/>
  <c r="O388" i="3"/>
  <c r="N389" i="3"/>
  <c r="O389" i="3"/>
  <c r="N390" i="3"/>
  <c r="O390" i="3"/>
  <c r="N391" i="3"/>
  <c r="O391" i="3"/>
  <c r="N392" i="3"/>
  <c r="O392" i="3"/>
  <c r="N393" i="3"/>
  <c r="O393" i="3"/>
  <c r="N394" i="3"/>
  <c r="O394" i="3"/>
  <c r="N395" i="3"/>
  <c r="O395" i="3"/>
  <c r="N396" i="3"/>
  <c r="O396" i="3"/>
  <c r="N397" i="3"/>
  <c r="O397" i="3"/>
  <c r="N398" i="3"/>
  <c r="O398" i="3"/>
  <c r="N399" i="3"/>
  <c r="O399" i="3"/>
  <c r="N400" i="3"/>
  <c r="O400" i="3"/>
  <c r="N401" i="3"/>
  <c r="O401" i="3"/>
  <c r="N402" i="3"/>
  <c r="O402" i="3"/>
  <c r="N403" i="3"/>
  <c r="O403" i="3"/>
  <c r="N404" i="3"/>
  <c r="O404" i="3"/>
  <c r="N405" i="3"/>
  <c r="O405" i="3"/>
  <c r="N406" i="3"/>
  <c r="O406" i="3"/>
  <c r="N407" i="3"/>
  <c r="O407" i="3"/>
  <c r="N408" i="3"/>
  <c r="O408" i="3"/>
  <c r="N409" i="3"/>
  <c r="O409" i="3"/>
  <c r="N410" i="3"/>
  <c r="O410" i="3"/>
  <c r="N411" i="3"/>
  <c r="O411" i="3"/>
  <c r="N412" i="3"/>
  <c r="O412" i="3"/>
  <c r="N413" i="3"/>
  <c r="O413" i="3"/>
  <c r="N414" i="3"/>
  <c r="O414" i="3"/>
  <c r="N415" i="3"/>
  <c r="O415" i="3"/>
  <c r="N416" i="3"/>
  <c r="O416" i="3"/>
  <c r="N417" i="3"/>
  <c r="O417" i="3"/>
  <c r="N418" i="3"/>
  <c r="O418" i="3"/>
  <c r="N419" i="3"/>
  <c r="O419" i="3"/>
  <c r="N420" i="3"/>
  <c r="O420" i="3"/>
  <c r="N421" i="3"/>
  <c r="O421" i="3"/>
  <c r="N422" i="3"/>
  <c r="O422" i="3"/>
  <c r="N423" i="3"/>
  <c r="O423" i="3"/>
  <c r="N424" i="3"/>
  <c r="O424" i="3"/>
  <c r="N425" i="3"/>
  <c r="O425" i="3"/>
  <c r="N426" i="3"/>
  <c r="O426" i="3"/>
  <c r="N427" i="3"/>
  <c r="O427" i="3"/>
  <c r="N428" i="3"/>
  <c r="O428" i="3"/>
  <c r="N429" i="3"/>
  <c r="O429" i="3"/>
  <c r="N430" i="3"/>
  <c r="O430" i="3"/>
  <c r="N431" i="3"/>
  <c r="O431" i="3"/>
  <c r="N432" i="3"/>
  <c r="O432" i="3"/>
  <c r="N433" i="3"/>
  <c r="O433" i="3"/>
  <c r="N434" i="3"/>
  <c r="O434" i="3"/>
  <c r="N435" i="3"/>
  <c r="O435" i="3"/>
  <c r="N436" i="3"/>
  <c r="O436" i="3"/>
  <c r="N437" i="3"/>
  <c r="O437" i="3"/>
  <c r="N438" i="3"/>
  <c r="O438" i="3"/>
  <c r="N439" i="3"/>
  <c r="O439" i="3"/>
  <c r="N440" i="3"/>
  <c r="O440" i="3"/>
  <c r="N441" i="3"/>
  <c r="O441" i="3"/>
  <c r="N442" i="3"/>
  <c r="O442" i="3"/>
  <c r="N443" i="3"/>
  <c r="O443" i="3"/>
  <c r="N444" i="3"/>
  <c r="O444" i="3"/>
  <c r="N445" i="3"/>
  <c r="O445" i="3"/>
  <c r="N446" i="3"/>
  <c r="O446" i="3"/>
  <c r="N447" i="3"/>
  <c r="O447" i="3"/>
  <c r="N448" i="3"/>
  <c r="O448" i="3"/>
  <c r="N449" i="3"/>
  <c r="O449" i="3"/>
  <c r="N450" i="3"/>
  <c r="O450" i="3"/>
  <c r="N451" i="3"/>
  <c r="O451" i="3"/>
  <c r="N452" i="3"/>
  <c r="O452" i="3"/>
  <c r="N453" i="3"/>
  <c r="O453" i="3"/>
  <c r="N454" i="3"/>
  <c r="O454" i="3"/>
  <c r="N455" i="3"/>
  <c r="O455" i="3"/>
  <c r="N456" i="3"/>
  <c r="O456" i="3"/>
  <c r="N457" i="3"/>
  <c r="O457" i="3"/>
  <c r="N458" i="3"/>
  <c r="O458" i="3"/>
  <c r="N459" i="3"/>
  <c r="O459" i="3"/>
  <c r="N460" i="3"/>
  <c r="O460" i="3"/>
  <c r="N461" i="3"/>
  <c r="O461" i="3"/>
  <c r="N462" i="3"/>
  <c r="O462" i="3"/>
  <c r="N463" i="3"/>
  <c r="O463" i="3"/>
  <c r="N464" i="3"/>
  <c r="O464" i="3"/>
  <c r="N465" i="3"/>
  <c r="O465" i="3"/>
  <c r="N466" i="3"/>
  <c r="O466" i="3"/>
  <c r="N467" i="3"/>
  <c r="O467" i="3"/>
  <c r="N468" i="3"/>
  <c r="O468" i="3"/>
  <c r="N469" i="3"/>
  <c r="O469" i="3"/>
  <c r="N470" i="3"/>
  <c r="O470" i="3"/>
  <c r="N471" i="3"/>
  <c r="O471" i="3"/>
  <c r="N472" i="3"/>
  <c r="O472" i="3"/>
  <c r="N473" i="3"/>
  <c r="O473" i="3"/>
  <c r="N474" i="3"/>
  <c r="O474" i="3"/>
  <c r="N475" i="3"/>
  <c r="O475" i="3"/>
  <c r="N476" i="3"/>
  <c r="O476" i="3"/>
  <c r="N477" i="3"/>
  <c r="O477" i="3"/>
  <c r="N478" i="3"/>
  <c r="O478" i="3"/>
  <c r="N479" i="3"/>
  <c r="O479" i="3"/>
  <c r="N480" i="3"/>
  <c r="O480" i="3"/>
  <c r="N481" i="3"/>
  <c r="O481" i="3"/>
  <c r="N482" i="3"/>
  <c r="O482" i="3"/>
  <c r="N483" i="3"/>
  <c r="O483" i="3"/>
  <c r="N484" i="3"/>
  <c r="O484" i="3"/>
  <c r="N485" i="3"/>
  <c r="O485" i="3"/>
  <c r="N486" i="3"/>
  <c r="O486" i="3"/>
  <c r="N487" i="3"/>
  <c r="O487" i="3"/>
  <c r="N488" i="3"/>
  <c r="O488" i="3"/>
  <c r="N489" i="3"/>
  <c r="O489" i="3"/>
  <c r="N490" i="3"/>
  <c r="O490" i="3"/>
  <c r="N491" i="3"/>
  <c r="O491" i="3"/>
  <c r="N492" i="3"/>
  <c r="O492" i="3"/>
  <c r="N493" i="3"/>
  <c r="O493" i="3"/>
  <c r="N494" i="3"/>
  <c r="O494" i="3"/>
  <c r="N495" i="3"/>
  <c r="O495" i="3"/>
  <c r="N496" i="3"/>
  <c r="O496" i="3"/>
  <c r="N497" i="3"/>
  <c r="O497" i="3"/>
  <c r="N498" i="3"/>
  <c r="O498" i="3"/>
  <c r="N499" i="3"/>
  <c r="O499" i="3"/>
  <c r="N500" i="3"/>
  <c r="O500" i="3"/>
  <c r="N501" i="3"/>
  <c r="O501" i="3"/>
  <c r="N502" i="3"/>
  <c r="O502" i="3"/>
  <c r="N503" i="3"/>
  <c r="O503" i="3"/>
  <c r="N504" i="3"/>
  <c r="O504" i="3"/>
  <c r="N505" i="3"/>
  <c r="O505" i="3"/>
  <c r="N506" i="3"/>
  <c r="O506" i="3"/>
  <c r="N507" i="3"/>
  <c r="O507" i="3"/>
  <c r="N508" i="3"/>
  <c r="O508" i="3"/>
  <c r="N509" i="3"/>
  <c r="O509" i="3"/>
  <c r="N510" i="3"/>
  <c r="O510" i="3"/>
  <c r="N511" i="3"/>
  <c r="O511" i="3"/>
  <c r="N512" i="3"/>
  <c r="O512" i="3"/>
  <c r="N513" i="3"/>
  <c r="O513" i="3"/>
  <c r="N514" i="3"/>
  <c r="O514" i="3"/>
  <c r="N515" i="3"/>
  <c r="O515" i="3"/>
  <c r="N516" i="3"/>
  <c r="O516" i="3"/>
  <c r="N517" i="3"/>
  <c r="O517" i="3"/>
  <c r="N518" i="3"/>
  <c r="O518" i="3"/>
  <c r="N519" i="3"/>
  <c r="O519" i="3"/>
  <c r="N520" i="3"/>
  <c r="O520" i="3"/>
  <c r="N521" i="3"/>
  <c r="O521" i="3"/>
  <c r="N522" i="3"/>
  <c r="O522" i="3"/>
  <c r="N523" i="3"/>
  <c r="O523" i="3"/>
  <c r="N524" i="3"/>
  <c r="O524" i="3"/>
  <c r="N525" i="3"/>
  <c r="O525" i="3"/>
  <c r="N526" i="3"/>
  <c r="O526" i="3"/>
  <c r="N527" i="3"/>
  <c r="O527" i="3"/>
  <c r="N528" i="3"/>
  <c r="O528" i="3"/>
  <c r="N529" i="3"/>
  <c r="O529" i="3"/>
  <c r="N530" i="3"/>
  <c r="O530" i="3"/>
  <c r="N531" i="3"/>
  <c r="O531" i="3"/>
  <c r="N532" i="3"/>
  <c r="O532" i="3"/>
  <c r="N533" i="3"/>
  <c r="O533" i="3"/>
  <c r="N534" i="3"/>
  <c r="O534" i="3"/>
  <c r="N535" i="3"/>
  <c r="O535" i="3"/>
  <c r="N536" i="3"/>
  <c r="O536" i="3"/>
  <c r="N537" i="3"/>
  <c r="O537" i="3"/>
  <c r="N538" i="3"/>
  <c r="O538" i="3"/>
  <c r="N539" i="3"/>
  <c r="O539" i="3"/>
  <c r="N540" i="3"/>
  <c r="O540" i="3"/>
  <c r="N541" i="3"/>
  <c r="O541" i="3"/>
  <c r="N542" i="3"/>
  <c r="O542" i="3"/>
  <c r="N543" i="3"/>
  <c r="O543" i="3"/>
  <c r="N544" i="3"/>
  <c r="O544" i="3"/>
  <c r="N545" i="3"/>
  <c r="O545" i="3"/>
  <c r="N546" i="3"/>
  <c r="O546" i="3"/>
  <c r="N547" i="3"/>
  <c r="O547" i="3"/>
  <c r="N548" i="3"/>
  <c r="O548" i="3"/>
  <c r="N549" i="3"/>
  <c r="O549" i="3"/>
  <c r="N550" i="3"/>
  <c r="O550" i="3"/>
  <c r="N551" i="3"/>
  <c r="O551" i="3"/>
  <c r="N552" i="3"/>
  <c r="O552" i="3"/>
  <c r="N553" i="3"/>
  <c r="O553" i="3"/>
  <c r="N554" i="3"/>
  <c r="O554" i="3"/>
  <c r="N555" i="3"/>
  <c r="O555" i="3"/>
  <c r="N556" i="3"/>
  <c r="O556" i="3"/>
  <c r="N557" i="3"/>
  <c r="O557" i="3"/>
  <c r="N558" i="3"/>
  <c r="O558" i="3"/>
  <c r="N559" i="3"/>
  <c r="O559" i="3"/>
  <c r="N560" i="3"/>
  <c r="O560" i="3"/>
  <c r="N561" i="3"/>
  <c r="O561" i="3"/>
  <c r="N562" i="3"/>
  <c r="O562" i="3"/>
  <c r="N563" i="3"/>
  <c r="O563" i="3"/>
  <c r="N564" i="3"/>
  <c r="O564" i="3"/>
  <c r="N565" i="3"/>
  <c r="O565" i="3"/>
  <c r="N566" i="3"/>
  <c r="O566" i="3"/>
  <c r="N567" i="3"/>
  <c r="O567" i="3"/>
  <c r="N568" i="3"/>
  <c r="O568" i="3"/>
  <c r="N569" i="3"/>
  <c r="O569" i="3"/>
  <c r="N570" i="3"/>
  <c r="O570" i="3"/>
  <c r="N571" i="3"/>
  <c r="O571" i="3"/>
  <c r="N572" i="3"/>
  <c r="O572" i="3"/>
  <c r="N573" i="3"/>
  <c r="O573" i="3"/>
  <c r="N574" i="3"/>
  <c r="O574" i="3"/>
  <c r="N575" i="3"/>
  <c r="O575" i="3"/>
  <c r="N576" i="3"/>
  <c r="O576" i="3"/>
  <c r="N577" i="3"/>
  <c r="O577" i="3"/>
  <c r="N578" i="3"/>
  <c r="O578" i="3"/>
  <c r="N579" i="3"/>
  <c r="O579" i="3"/>
  <c r="N580" i="3"/>
  <c r="O580" i="3"/>
  <c r="N581" i="3"/>
  <c r="O581" i="3"/>
  <c r="N582" i="3"/>
  <c r="O582" i="3"/>
  <c r="N583" i="3"/>
  <c r="O583" i="3"/>
  <c r="N584" i="3"/>
  <c r="O584" i="3"/>
  <c r="N585" i="3"/>
  <c r="O585" i="3"/>
  <c r="N586" i="3"/>
  <c r="O586" i="3"/>
  <c r="N587" i="3"/>
  <c r="O587" i="3"/>
  <c r="N588" i="3"/>
  <c r="O588" i="3"/>
  <c r="N589" i="3"/>
  <c r="O589" i="3"/>
  <c r="N590" i="3"/>
  <c r="O590" i="3"/>
  <c r="N591" i="3"/>
  <c r="O591" i="3"/>
  <c r="N592" i="3"/>
  <c r="O592" i="3"/>
  <c r="N593" i="3"/>
  <c r="O593" i="3"/>
  <c r="N594" i="3"/>
  <c r="O594" i="3"/>
  <c r="N595" i="3"/>
  <c r="O595" i="3"/>
  <c r="N596" i="3"/>
  <c r="O596" i="3"/>
  <c r="N597" i="3"/>
  <c r="O597" i="3"/>
  <c r="N598" i="3"/>
  <c r="O598" i="3"/>
  <c r="N599" i="3"/>
  <c r="O599" i="3"/>
  <c r="N600" i="3"/>
  <c r="O600" i="3"/>
  <c r="N601" i="3"/>
  <c r="O601" i="3"/>
  <c r="N602" i="3"/>
  <c r="O602" i="3"/>
  <c r="N603" i="3"/>
  <c r="O603" i="3"/>
  <c r="N604" i="3"/>
  <c r="O604" i="3"/>
  <c r="N605" i="3"/>
  <c r="O605" i="3"/>
  <c r="N606" i="3"/>
  <c r="O606" i="3"/>
  <c r="N607" i="3"/>
  <c r="O607" i="3"/>
  <c r="N608" i="3"/>
  <c r="O608" i="3"/>
  <c r="N609" i="3"/>
  <c r="O609" i="3"/>
  <c r="N610" i="3"/>
  <c r="O610" i="3"/>
  <c r="N611" i="3"/>
  <c r="O611" i="3"/>
  <c r="N612" i="3"/>
  <c r="O612" i="3"/>
  <c r="N613" i="3"/>
  <c r="O613" i="3"/>
  <c r="N614" i="3"/>
  <c r="O614" i="3"/>
  <c r="N615" i="3"/>
  <c r="O615" i="3"/>
  <c r="N616" i="3"/>
  <c r="O616" i="3"/>
  <c r="N617" i="3"/>
  <c r="O617" i="3"/>
  <c r="N618" i="3"/>
  <c r="O618" i="3"/>
  <c r="N619" i="3"/>
  <c r="O619" i="3"/>
  <c r="N620" i="3"/>
  <c r="O620" i="3"/>
  <c r="N621" i="3"/>
  <c r="O621" i="3"/>
  <c r="N622" i="3"/>
  <c r="O622" i="3"/>
  <c r="N623" i="3"/>
  <c r="O623" i="3"/>
  <c r="N624" i="3"/>
  <c r="O624" i="3"/>
  <c r="N625" i="3"/>
  <c r="O625" i="3"/>
  <c r="N626" i="3"/>
  <c r="O626" i="3"/>
  <c r="N627" i="3"/>
  <c r="O627" i="3"/>
  <c r="N628" i="3"/>
  <c r="O628" i="3"/>
  <c r="N629" i="3"/>
  <c r="O629" i="3"/>
  <c r="N630" i="3"/>
  <c r="O630" i="3"/>
  <c r="N631" i="3"/>
  <c r="O631" i="3"/>
  <c r="N632" i="3"/>
  <c r="O632" i="3"/>
  <c r="N633" i="3"/>
  <c r="O633" i="3"/>
  <c r="N634" i="3"/>
  <c r="O634" i="3"/>
  <c r="N635" i="3"/>
  <c r="O635" i="3"/>
  <c r="N636" i="3"/>
  <c r="O636" i="3"/>
  <c r="N637" i="3"/>
  <c r="O637" i="3"/>
  <c r="N638" i="3"/>
  <c r="O638" i="3"/>
  <c r="N639" i="3"/>
  <c r="O639" i="3"/>
  <c r="N640" i="3"/>
  <c r="O640" i="3"/>
  <c r="N641" i="3"/>
  <c r="O641" i="3"/>
  <c r="N642" i="3"/>
  <c r="O642" i="3"/>
  <c r="N643" i="3"/>
  <c r="O643" i="3"/>
  <c r="N644" i="3"/>
  <c r="O644" i="3"/>
  <c r="N645" i="3"/>
  <c r="O645" i="3"/>
  <c r="N646" i="3"/>
  <c r="O646" i="3"/>
  <c r="N647" i="3"/>
  <c r="O647" i="3"/>
  <c r="N648" i="3"/>
  <c r="O648" i="3"/>
  <c r="N649" i="3"/>
  <c r="O649" i="3"/>
  <c r="N650" i="3"/>
  <c r="O650" i="3"/>
  <c r="N651" i="3"/>
  <c r="O651" i="3"/>
  <c r="N652" i="3"/>
  <c r="O652" i="3"/>
  <c r="N653" i="3"/>
  <c r="O653" i="3"/>
  <c r="N654" i="3"/>
  <c r="O654" i="3"/>
  <c r="N655" i="3"/>
  <c r="O655" i="3"/>
  <c r="N656" i="3"/>
  <c r="O656" i="3"/>
  <c r="N657" i="3"/>
  <c r="O657" i="3"/>
  <c r="N658" i="3"/>
  <c r="O658" i="3"/>
  <c r="N659" i="3"/>
  <c r="O659" i="3"/>
  <c r="N660" i="3"/>
  <c r="O660" i="3"/>
  <c r="N661" i="3"/>
  <c r="O661" i="3"/>
  <c r="N662" i="3"/>
  <c r="O662" i="3"/>
  <c r="N663" i="3"/>
  <c r="O663" i="3"/>
  <c r="N664" i="3"/>
  <c r="O664" i="3"/>
  <c r="N665" i="3"/>
  <c r="O665" i="3"/>
  <c r="N666" i="3"/>
  <c r="O666" i="3"/>
  <c r="N667" i="3"/>
  <c r="O667" i="3"/>
  <c r="N668" i="3"/>
  <c r="O668" i="3"/>
  <c r="N669" i="3"/>
  <c r="O669" i="3"/>
  <c r="N670" i="3"/>
  <c r="O670" i="3"/>
  <c r="N671" i="3"/>
  <c r="O671" i="3"/>
  <c r="N672" i="3"/>
  <c r="O672" i="3"/>
  <c r="N673" i="3"/>
  <c r="O673" i="3"/>
  <c r="N674" i="3"/>
  <c r="O674" i="3"/>
  <c r="N675" i="3"/>
  <c r="O675" i="3"/>
  <c r="N676" i="3"/>
  <c r="O676" i="3"/>
  <c r="N677" i="3"/>
  <c r="O677" i="3"/>
  <c r="N678" i="3"/>
  <c r="O678" i="3"/>
  <c r="N679" i="3"/>
  <c r="O679" i="3"/>
  <c r="N680" i="3"/>
  <c r="O680" i="3"/>
  <c r="N681" i="3"/>
  <c r="O681" i="3"/>
  <c r="N682" i="3"/>
  <c r="O682" i="3"/>
  <c r="N683" i="3"/>
  <c r="O683" i="3"/>
  <c r="N684" i="3"/>
  <c r="O684" i="3"/>
  <c r="N685" i="3"/>
  <c r="O685" i="3"/>
  <c r="N686" i="3"/>
  <c r="O686" i="3"/>
  <c r="N687" i="3"/>
  <c r="O687" i="3"/>
  <c r="N688" i="3"/>
  <c r="O688" i="3"/>
  <c r="N689" i="3"/>
  <c r="O689" i="3"/>
  <c r="N690" i="3"/>
  <c r="O690" i="3"/>
  <c r="N691" i="3"/>
  <c r="O691" i="3"/>
  <c r="N692" i="3"/>
  <c r="O692" i="3"/>
  <c r="N693" i="3"/>
  <c r="O693" i="3"/>
  <c r="N694" i="3"/>
  <c r="O694" i="3"/>
  <c r="N695" i="3"/>
  <c r="O695" i="3"/>
  <c r="N696" i="3"/>
  <c r="O696" i="3"/>
  <c r="N697" i="3"/>
  <c r="O697" i="3"/>
  <c r="N698" i="3"/>
  <c r="O698" i="3"/>
  <c r="N699" i="3"/>
  <c r="O699" i="3"/>
  <c r="N700" i="3"/>
  <c r="O700" i="3"/>
  <c r="N701" i="3"/>
  <c r="O701" i="3"/>
  <c r="N702" i="3"/>
  <c r="O702" i="3"/>
  <c r="N703" i="3"/>
  <c r="O703" i="3"/>
  <c r="N704" i="3"/>
  <c r="O704" i="3"/>
  <c r="N705" i="3"/>
  <c r="O705" i="3"/>
  <c r="N706" i="3"/>
  <c r="O706" i="3"/>
  <c r="N707" i="3"/>
  <c r="O707" i="3"/>
  <c r="N708" i="3"/>
  <c r="O708" i="3"/>
  <c r="N709" i="3"/>
  <c r="O709" i="3"/>
  <c r="N710" i="3"/>
  <c r="O710" i="3"/>
  <c r="N711" i="3"/>
  <c r="O711" i="3"/>
  <c r="N712" i="3"/>
  <c r="O712" i="3"/>
  <c r="N713" i="3"/>
  <c r="O713" i="3"/>
  <c r="N714" i="3"/>
  <c r="O714" i="3"/>
  <c r="N715" i="3"/>
  <c r="O715" i="3"/>
  <c r="N716" i="3"/>
  <c r="O716" i="3"/>
  <c r="N717" i="3"/>
  <c r="O717" i="3"/>
  <c r="N718" i="3"/>
  <c r="O718" i="3"/>
  <c r="N719" i="3"/>
  <c r="O719" i="3"/>
  <c r="N720" i="3"/>
  <c r="O720" i="3"/>
  <c r="N721" i="3"/>
  <c r="O721" i="3"/>
  <c r="N722" i="3"/>
  <c r="O722" i="3"/>
  <c r="N723" i="3"/>
  <c r="O723" i="3"/>
  <c r="N724" i="3"/>
  <c r="O724" i="3"/>
  <c r="N725" i="3"/>
  <c r="O725" i="3"/>
  <c r="N726" i="3"/>
  <c r="O726" i="3"/>
  <c r="N727" i="3"/>
  <c r="O727" i="3"/>
  <c r="N728" i="3"/>
  <c r="O728" i="3"/>
  <c r="N729" i="3"/>
  <c r="O729" i="3"/>
  <c r="N730" i="3"/>
  <c r="O730" i="3"/>
  <c r="N731" i="3"/>
  <c r="O731" i="3"/>
  <c r="N732" i="3"/>
  <c r="O732" i="3"/>
  <c r="N733" i="3"/>
  <c r="O733" i="3"/>
  <c r="N734" i="3"/>
  <c r="O734" i="3"/>
  <c r="N735" i="3"/>
  <c r="O735" i="3"/>
  <c r="N736" i="3"/>
  <c r="O736" i="3"/>
  <c r="N737" i="3"/>
  <c r="O737" i="3"/>
  <c r="N738" i="3"/>
  <c r="O738" i="3"/>
  <c r="N739" i="3"/>
  <c r="O739" i="3"/>
  <c r="N740" i="3"/>
  <c r="O740" i="3"/>
  <c r="N741" i="3"/>
  <c r="O741" i="3"/>
  <c r="N742" i="3"/>
  <c r="O742" i="3"/>
  <c r="N743" i="3"/>
  <c r="O743" i="3"/>
  <c r="N744" i="3"/>
  <c r="O744" i="3"/>
  <c r="N745" i="3"/>
  <c r="O745" i="3"/>
  <c r="N746" i="3"/>
  <c r="O746" i="3"/>
  <c r="N747" i="3"/>
  <c r="O747" i="3"/>
  <c r="N748" i="3"/>
  <c r="O748" i="3"/>
  <c r="N749" i="3"/>
  <c r="O749" i="3"/>
  <c r="N750" i="3"/>
  <c r="O750" i="3"/>
  <c r="N751" i="3"/>
  <c r="O751" i="3"/>
  <c r="N752" i="3"/>
  <c r="O752" i="3"/>
  <c r="N753" i="3"/>
  <c r="O753" i="3"/>
  <c r="N754" i="3"/>
  <c r="O754" i="3"/>
  <c r="N755" i="3"/>
  <c r="O755" i="3"/>
  <c r="N756" i="3"/>
  <c r="O756" i="3"/>
  <c r="N757" i="3"/>
  <c r="O757" i="3"/>
  <c r="N758" i="3"/>
  <c r="O758" i="3"/>
  <c r="N759" i="3"/>
  <c r="O759" i="3"/>
  <c r="N760" i="3"/>
  <c r="O760" i="3"/>
  <c r="N761" i="3"/>
  <c r="O761" i="3"/>
  <c r="N762" i="3"/>
  <c r="O762" i="3"/>
  <c r="N763" i="3"/>
  <c r="O763" i="3"/>
  <c r="N764" i="3"/>
  <c r="O764" i="3"/>
  <c r="N765" i="3"/>
  <c r="O765" i="3"/>
  <c r="N766" i="3"/>
  <c r="O766" i="3"/>
  <c r="N767" i="3"/>
  <c r="O767" i="3"/>
  <c r="N768" i="3"/>
  <c r="O768" i="3"/>
  <c r="N769" i="3"/>
  <c r="O769" i="3"/>
  <c r="N770" i="3"/>
  <c r="O770" i="3"/>
  <c r="N771" i="3"/>
  <c r="O771" i="3"/>
  <c r="N772" i="3"/>
  <c r="O772" i="3"/>
  <c r="N773" i="3"/>
  <c r="O773" i="3"/>
  <c r="N774" i="3"/>
  <c r="O774" i="3"/>
  <c r="N775" i="3"/>
  <c r="O775" i="3"/>
  <c r="N776" i="3"/>
  <c r="O776" i="3"/>
  <c r="N777" i="3"/>
  <c r="O777" i="3"/>
  <c r="N778" i="3"/>
  <c r="O778" i="3"/>
  <c r="N779" i="3"/>
  <c r="O779" i="3"/>
  <c r="N780" i="3"/>
  <c r="O780" i="3"/>
  <c r="N781" i="3"/>
  <c r="O781" i="3"/>
  <c r="N782" i="3"/>
  <c r="O782" i="3"/>
  <c r="N783" i="3"/>
  <c r="O783" i="3"/>
  <c r="N784" i="3"/>
  <c r="O784" i="3"/>
  <c r="N785" i="3"/>
  <c r="O785" i="3"/>
  <c r="N786" i="3"/>
  <c r="O786" i="3"/>
  <c r="N787" i="3"/>
  <c r="O787" i="3"/>
  <c r="N788" i="3"/>
  <c r="O788" i="3"/>
  <c r="N789" i="3"/>
  <c r="O789" i="3"/>
  <c r="N790" i="3"/>
  <c r="O790" i="3"/>
  <c r="N791" i="3"/>
  <c r="O791" i="3"/>
  <c r="N792" i="3"/>
  <c r="O792" i="3"/>
  <c r="N793" i="3"/>
  <c r="O793" i="3"/>
  <c r="N794" i="3"/>
  <c r="O794" i="3"/>
  <c r="N795" i="3"/>
  <c r="O795" i="3"/>
  <c r="N796" i="3"/>
  <c r="O796" i="3"/>
  <c r="N797" i="3"/>
  <c r="O797" i="3"/>
  <c r="N798" i="3"/>
  <c r="O798" i="3"/>
  <c r="N799" i="3"/>
  <c r="O799" i="3"/>
  <c r="N800" i="3"/>
  <c r="O800" i="3"/>
  <c r="N801" i="3"/>
  <c r="O801" i="3"/>
  <c r="N802" i="3"/>
  <c r="O802" i="3"/>
  <c r="N803" i="3"/>
  <c r="O803" i="3"/>
  <c r="N804" i="3"/>
  <c r="O804" i="3"/>
  <c r="N805" i="3"/>
  <c r="O805" i="3"/>
  <c r="N806" i="3"/>
  <c r="O806" i="3"/>
  <c r="N807" i="3"/>
  <c r="O807" i="3"/>
  <c r="N808" i="3"/>
  <c r="O808" i="3"/>
  <c r="N809" i="3"/>
  <c r="O809" i="3"/>
  <c r="N810" i="3"/>
  <c r="O810" i="3"/>
  <c r="N811" i="3"/>
  <c r="O811" i="3"/>
  <c r="N812" i="3"/>
  <c r="O812" i="3"/>
  <c r="N813" i="3"/>
  <c r="O813" i="3"/>
  <c r="N814" i="3"/>
  <c r="O814" i="3"/>
  <c r="N815" i="3"/>
  <c r="O815" i="3"/>
  <c r="N816" i="3"/>
  <c r="O816" i="3"/>
  <c r="N817" i="3"/>
  <c r="O817" i="3"/>
  <c r="N818" i="3"/>
  <c r="O818" i="3"/>
  <c r="N819" i="3"/>
  <c r="O819" i="3"/>
  <c r="N820" i="3"/>
  <c r="O820" i="3"/>
  <c r="N821" i="3"/>
  <c r="O821" i="3"/>
  <c r="N822" i="3"/>
  <c r="O822" i="3"/>
  <c r="N823" i="3"/>
  <c r="O823" i="3"/>
  <c r="N824" i="3"/>
  <c r="O824" i="3"/>
  <c r="N825" i="3"/>
  <c r="O825" i="3"/>
  <c r="N826" i="3"/>
  <c r="O826" i="3"/>
  <c r="N827" i="3"/>
  <c r="O827" i="3"/>
  <c r="N828" i="3"/>
  <c r="O828" i="3"/>
  <c r="N829" i="3"/>
  <c r="O829" i="3"/>
  <c r="N830" i="3"/>
  <c r="O830" i="3"/>
  <c r="N831" i="3"/>
  <c r="O831" i="3"/>
  <c r="N832" i="3"/>
  <c r="O832" i="3"/>
  <c r="N833" i="3"/>
  <c r="O833" i="3"/>
  <c r="N834" i="3"/>
  <c r="O834" i="3"/>
  <c r="N835" i="3"/>
  <c r="O835" i="3"/>
  <c r="N836" i="3"/>
  <c r="O836" i="3"/>
  <c r="N837" i="3"/>
  <c r="O837" i="3"/>
  <c r="N838" i="3"/>
  <c r="O838" i="3"/>
  <c r="N839" i="3"/>
  <c r="O839" i="3"/>
  <c r="N840" i="3"/>
  <c r="O840" i="3"/>
  <c r="N841" i="3"/>
  <c r="O841" i="3"/>
  <c r="N842" i="3"/>
  <c r="O842" i="3"/>
  <c r="N843" i="3"/>
  <c r="O843" i="3"/>
  <c r="N844" i="3"/>
  <c r="O844" i="3"/>
  <c r="N845" i="3"/>
  <c r="O845" i="3"/>
  <c r="N846" i="3"/>
  <c r="O846" i="3"/>
  <c r="N847" i="3"/>
  <c r="O847" i="3"/>
  <c r="N848" i="3"/>
  <c r="O848" i="3"/>
  <c r="N849" i="3"/>
  <c r="O849" i="3"/>
  <c r="N850" i="3"/>
  <c r="O850" i="3"/>
  <c r="N851" i="3"/>
  <c r="O851" i="3"/>
  <c r="N852" i="3"/>
  <c r="O852" i="3"/>
  <c r="N853" i="3"/>
  <c r="O853" i="3"/>
  <c r="N854" i="3"/>
  <c r="O854" i="3"/>
  <c r="N855" i="3"/>
  <c r="O855" i="3"/>
  <c r="N856" i="3"/>
  <c r="O856" i="3"/>
  <c r="N857" i="3"/>
  <c r="O857" i="3"/>
  <c r="N858" i="3"/>
  <c r="O858" i="3"/>
  <c r="N859" i="3"/>
  <c r="O859" i="3"/>
  <c r="N860" i="3"/>
  <c r="O860" i="3"/>
  <c r="N861" i="3"/>
  <c r="O861" i="3"/>
  <c r="N862" i="3"/>
  <c r="O862" i="3"/>
  <c r="N863" i="3"/>
  <c r="O863" i="3"/>
  <c r="N864" i="3"/>
  <c r="O864" i="3"/>
  <c r="N865" i="3"/>
  <c r="O865" i="3"/>
  <c r="N866" i="3"/>
  <c r="O866" i="3"/>
  <c r="N867" i="3"/>
  <c r="O867" i="3"/>
  <c r="N868" i="3"/>
  <c r="O868" i="3"/>
  <c r="N869" i="3"/>
  <c r="O869" i="3"/>
  <c r="N870" i="3"/>
  <c r="O870" i="3"/>
  <c r="N871" i="3"/>
  <c r="O871" i="3"/>
  <c r="N872" i="3"/>
  <c r="O872" i="3"/>
  <c r="N873" i="3"/>
  <c r="O873" i="3"/>
  <c r="N874" i="3"/>
  <c r="O874" i="3"/>
  <c r="N875" i="3"/>
  <c r="O875" i="3"/>
  <c r="N876" i="3"/>
  <c r="O876" i="3"/>
  <c r="N877" i="3"/>
  <c r="O877" i="3"/>
  <c r="N878" i="3"/>
  <c r="O878" i="3"/>
  <c r="N879" i="3"/>
  <c r="O879" i="3"/>
  <c r="N880" i="3"/>
  <c r="O880" i="3"/>
  <c r="N881" i="3"/>
  <c r="O881" i="3"/>
  <c r="N882" i="3"/>
  <c r="O882" i="3"/>
  <c r="N883" i="3"/>
  <c r="O883" i="3"/>
  <c r="N884" i="3"/>
  <c r="O884" i="3"/>
  <c r="N885" i="3"/>
  <c r="O885" i="3"/>
  <c r="N886" i="3"/>
  <c r="O886" i="3"/>
  <c r="N887" i="3"/>
  <c r="O887" i="3"/>
  <c r="N888" i="3"/>
  <c r="O888" i="3"/>
  <c r="N889" i="3"/>
  <c r="O889" i="3"/>
  <c r="N890" i="3"/>
  <c r="O890" i="3"/>
  <c r="N891" i="3"/>
  <c r="O891" i="3"/>
  <c r="N892" i="3"/>
  <c r="O892" i="3"/>
  <c r="N893" i="3"/>
  <c r="O893" i="3"/>
  <c r="N894" i="3"/>
  <c r="O894" i="3"/>
  <c r="N895" i="3"/>
  <c r="O895" i="3"/>
  <c r="N896" i="3"/>
  <c r="O896" i="3"/>
  <c r="N897" i="3"/>
  <c r="O897" i="3"/>
  <c r="N898" i="3"/>
  <c r="O898" i="3"/>
  <c r="N899" i="3"/>
  <c r="O899" i="3"/>
  <c r="N900" i="3"/>
  <c r="O900" i="3"/>
  <c r="N901" i="3"/>
  <c r="O901" i="3"/>
  <c r="N902" i="3"/>
  <c r="O902" i="3"/>
  <c r="N903" i="3"/>
  <c r="O903" i="3"/>
  <c r="N904" i="3"/>
  <c r="O904" i="3"/>
  <c r="N905" i="3"/>
  <c r="O905" i="3"/>
  <c r="N906" i="3"/>
  <c r="O906" i="3"/>
  <c r="N907" i="3"/>
  <c r="O907" i="3"/>
  <c r="N908" i="3"/>
  <c r="O908" i="3"/>
  <c r="N909" i="3"/>
  <c r="O909" i="3"/>
  <c r="N910" i="3"/>
  <c r="O910" i="3"/>
  <c r="N911" i="3"/>
  <c r="O911" i="3"/>
  <c r="N912" i="3"/>
  <c r="O912" i="3"/>
  <c r="N913" i="3"/>
  <c r="O913" i="3"/>
  <c r="N914" i="3"/>
  <c r="O914" i="3"/>
  <c r="N915" i="3"/>
  <c r="O915" i="3"/>
  <c r="N916" i="3"/>
  <c r="O916" i="3"/>
  <c r="N917" i="3"/>
  <c r="O917" i="3"/>
  <c r="N918" i="3"/>
  <c r="O918" i="3"/>
  <c r="N919" i="3"/>
  <c r="O919" i="3"/>
  <c r="N920" i="3"/>
  <c r="O920" i="3"/>
  <c r="N921" i="3"/>
  <c r="O921" i="3"/>
  <c r="N922" i="3"/>
  <c r="O922" i="3"/>
  <c r="N923" i="3"/>
  <c r="O923" i="3"/>
  <c r="N924" i="3"/>
  <c r="O924" i="3"/>
  <c r="N925" i="3"/>
  <c r="O925" i="3"/>
  <c r="N926" i="3"/>
  <c r="O926" i="3"/>
  <c r="N927" i="3"/>
  <c r="O927" i="3"/>
  <c r="N928" i="3"/>
  <c r="O928" i="3"/>
  <c r="N929" i="3"/>
  <c r="O929" i="3"/>
  <c r="N930" i="3"/>
  <c r="O930" i="3"/>
  <c r="N931" i="3"/>
  <c r="O931" i="3"/>
  <c r="N932" i="3"/>
  <c r="O932" i="3"/>
  <c r="N933" i="3"/>
  <c r="O933" i="3"/>
  <c r="N934" i="3"/>
  <c r="O934" i="3"/>
  <c r="N935" i="3"/>
  <c r="O935" i="3"/>
  <c r="N936" i="3"/>
  <c r="O936" i="3"/>
  <c r="N937" i="3"/>
  <c r="O937" i="3"/>
  <c r="N938" i="3"/>
  <c r="O938" i="3"/>
  <c r="N939" i="3"/>
  <c r="O939" i="3"/>
  <c r="N940" i="3"/>
  <c r="O940" i="3"/>
  <c r="N941" i="3"/>
  <c r="O941" i="3"/>
  <c r="N942" i="3"/>
  <c r="O942" i="3"/>
  <c r="N943" i="3"/>
  <c r="O943" i="3"/>
  <c r="N944" i="3"/>
  <c r="O944" i="3"/>
  <c r="N945" i="3"/>
  <c r="O945" i="3"/>
  <c r="N946" i="3"/>
  <c r="O946" i="3"/>
  <c r="N947" i="3"/>
  <c r="O947" i="3"/>
  <c r="N948" i="3"/>
  <c r="O948" i="3"/>
  <c r="N949" i="3"/>
  <c r="O949" i="3"/>
  <c r="N950" i="3"/>
  <c r="O950" i="3"/>
  <c r="N951" i="3"/>
  <c r="O951" i="3"/>
  <c r="N952" i="3"/>
  <c r="O952" i="3"/>
  <c r="N953" i="3"/>
  <c r="O953" i="3"/>
  <c r="N954" i="3"/>
  <c r="O954" i="3"/>
  <c r="N955" i="3"/>
  <c r="O955" i="3"/>
  <c r="N956" i="3"/>
  <c r="O956" i="3"/>
  <c r="N957" i="3"/>
  <c r="O957" i="3"/>
  <c r="N958" i="3"/>
  <c r="O958" i="3"/>
  <c r="N959" i="3"/>
  <c r="O959" i="3"/>
  <c r="N960" i="3"/>
  <c r="O960" i="3"/>
  <c r="N961" i="3"/>
  <c r="O961" i="3"/>
  <c r="N962" i="3"/>
  <c r="O962" i="3"/>
  <c r="N963" i="3"/>
  <c r="O963" i="3"/>
  <c r="N964" i="3"/>
  <c r="O964" i="3"/>
  <c r="N965" i="3"/>
  <c r="O965" i="3"/>
  <c r="N966" i="3"/>
  <c r="O966" i="3"/>
  <c r="N967" i="3"/>
  <c r="O967" i="3"/>
  <c r="N968" i="3"/>
  <c r="O968" i="3"/>
  <c r="N969" i="3"/>
  <c r="O969" i="3"/>
  <c r="N970" i="3"/>
  <c r="O970" i="3"/>
  <c r="N971" i="3"/>
  <c r="O971" i="3"/>
  <c r="N972" i="3"/>
  <c r="O972" i="3"/>
  <c r="N973" i="3"/>
  <c r="O973" i="3"/>
  <c r="N974" i="3"/>
  <c r="O974" i="3"/>
  <c r="N975" i="3"/>
  <c r="O975" i="3"/>
  <c r="N976" i="3"/>
  <c r="O976" i="3"/>
  <c r="N977" i="3"/>
  <c r="O977" i="3"/>
  <c r="N978" i="3"/>
  <c r="O978" i="3"/>
  <c r="N979" i="3"/>
  <c r="O979" i="3"/>
  <c r="N980" i="3"/>
  <c r="O980" i="3"/>
  <c r="N981" i="3"/>
  <c r="O981" i="3"/>
  <c r="N982" i="3"/>
  <c r="O982" i="3"/>
  <c r="N983" i="3"/>
  <c r="O983" i="3"/>
  <c r="N984" i="3"/>
  <c r="O984" i="3"/>
  <c r="N985" i="3"/>
  <c r="O985" i="3"/>
  <c r="N986" i="3"/>
  <c r="O986" i="3"/>
  <c r="N987" i="3"/>
  <c r="O987" i="3"/>
  <c r="N988" i="3"/>
  <c r="O988" i="3"/>
  <c r="N989" i="3"/>
  <c r="O989" i="3"/>
  <c r="N990" i="3"/>
  <c r="O990" i="3"/>
  <c r="N991" i="3"/>
  <c r="O991" i="3"/>
  <c r="N992" i="3"/>
  <c r="O992" i="3"/>
  <c r="N993" i="3"/>
  <c r="O993" i="3"/>
  <c r="N994" i="3"/>
  <c r="O994" i="3"/>
  <c r="N995" i="3"/>
  <c r="O995" i="3"/>
  <c r="N996" i="3"/>
  <c r="O996" i="3"/>
  <c r="N997" i="3"/>
  <c r="O997" i="3"/>
  <c r="N998" i="3"/>
  <c r="O998" i="3"/>
  <c r="N999" i="3"/>
  <c r="O999" i="3"/>
  <c r="N1000" i="3"/>
  <c r="O1000" i="3"/>
  <c r="N1001" i="3"/>
  <c r="O1001" i="3"/>
  <c r="N1002" i="3"/>
  <c r="O1002" i="3"/>
  <c r="N1003" i="3"/>
  <c r="O1003" i="3"/>
  <c r="N1004" i="3"/>
  <c r="O1004" i="3"/>
  <c r="N1005" i="3"/>
  <c r="O1005" i="3"/>
  <c r="N1006" i="3"/>
  <c r="O1006" i="3"/>
  <c r="N1007" i="3"/>
  <c r="O1007" i="3"/>
  <c r="N1008" i="3"/>
  <c r="O1008" i="3"/>
  <c r="N1009" i="3"/>
  <c r="O1009" i="3"/>
  <c r="N1010" i="3"/>
  <c r="O1010" i="3"/>
  <c r="N1011" i="3"/>
  <c r="O1011" i="3"/>
  <c r="O12" i="3"/>
  <c r="N12" i="3"/>
</calcChain>
</file>

<file path=xl/sharedStrings.xml><?xml version="1.0" encoding="utf-8"?>
<sst xmlns="http://schemas.openxmlformats.org/spreadsheetml/2006/main" count="1296" uniqueCount="818">
  <si>
    <t>Identificador do coletor</t>
  </si>
  <si>
    <t>Nome:</t>
  </si>
  <si>
    <t>Data da atualização:</t>
  </si>
  <si>
    <t>Embarcação</t>
  </si>
  <si>
    <t>Data de saída:</t>
  </si>
  <si>
    <t>Estado</t>
  </si>
  <si>
    <t>Estado:</t>
  </si>
  <si>
    <t>Ponto de desembarque:</t>
  </si>
  <si>
    <t>Tipo de embarcação:</t>
  </si>
  <si>
    <t>Data de chegada:</t>
  </si>
  <si>
    <t>Cidade:</t>
  </si>
  <si>
    <t>Nome da embarcação:</t>
  </si>
  <si>
    <t>Material do casco:</t>
  </si>
  <si>
    <t>Sistema de propulsão:</t>
  </si>
  <si>
    <t>Espécie</t>
  </si>
  <si>
    <t>Captura (kg)</t>
  </si>
  <si>
    <t>ID_cidade</t>
  </si>
  <si>
    <t>Cidade</t>
  </si>
  <si>
    <t>BARRA DE SA</t>
  </si>
  <si>
    <t>CORURIPE</t>
  </si>
  <si>
    <t>MACEIO</t>
  </si>
  <si>
    <t>MARAGOGI</t>
  </si>
  <si>
    <t>MARECHAL DEO</t>
  </si>
  <si>
    <t>PASSO DE CAM</t>
  </si>
  <si>
    <t>PIACABUCU</t>
  </si>
  <si>
    <t>PILAR</t>
  </si>
  <si>
    <t>ROTEIRO</t>
  </si>
  <si>
    <t>SM DOS MIL</t>
  </si>
  <si>
    <t>ALCOBACA</t>
  </si>
  <si>
    <t>CACHOEIRA</t>
  </si>
  <si>
    <t>CAIRU</t>
  </si>
  <si>
    <t>CAMACARI</t>
  </si>
  <si>
    <t>CAMAMU</t>
  </si>
  <si>
    <t>CANAVIEIRAS</t>
  </si>
  <si>
    <t>CARAVELAS</t>
  </si>
  <si>
    <t>CONDE</t>
  </si>
  <si>
    <t>ENTRE RIOS</t>
  </si>
  <si>
    <t>ILHEUS</t>
  </si>
  <si>
    <t>ITACARE</t>
  </si>
  <si>
    <t>ITAPARICA</t>
  </si>
  <si>
    <t>ITUBERA</t>
  </si>
  <si>
    <t>JAGUARIPE</t>
  </si>
  <si>
    <t>JANDAIRA</t>
  </si>
  <si>
    <t>LAURO DE FRE</t>
  </si>
  <si>
    <t>MADRE DE DEU</t>
  </si>
  <si>
    <t>MARAGOGIPE</t>
  </si>
  <si>
    <t>MATA DE SAO</t>
  </si>
  <si>
    <t>MUCURI</t>
  </si>
  <si>
    <t>NILO PECANHA</t>
  </si>
  <si>
    <t>NOVA VICOSA</t>
  </si>
  <si>
    <t>PORTO SEGURO</t>
  </si>
  <si>
    <t>PRADO</t>
  </si>
  <si>
    <t>SALVADOR</t>
  </si>
  <si>
    <t>SANTO AMARO</t>
  </si>
  <si>
    <t>SAUBARA</t>
  </si>
  <si>
    <t>SCRUZ DE CA</t>
  </si>
  <si>
    <t>SFRANCISCO</t>
  </si>
  <si>
    <t>TAPEROA</t>
  </si>
  <si>
    <t>UNA</t>
  </si>
  <si>
    <t>VALENCA</t>
  </si>
  <si>
    <t>VERA CRUZ</t>
  </si>
  <si>
    <t>ACARAU</t>
  </si>
  <si>
    <t>AMONTADA</t>
  </si>
  <si>
    <t>AQUIRAZ</t>
  </si>
  <si>
    <t>ARACATI</t>
  </si>
  <si>
    <t>BARROQUINHA</t>
  </si>
  <si>
    <t>BEBERIBE</t>
  </si>
  <si>
    <t>CAMOCIM</t>
  </si>
  <si>
    <t>CASCAVEL</t>
  </si>
  <si>
    <t>CAUCAIA</t>
  </si>
  <si>
    <t>CRUZ</t>
  </si>
  <si>
    <t>FORTALEZA</t>
  </si>
  <si>
    <t>FORTIM</t>
  </si>
  <si>
    <t>ICAPUI</t>
  </si>
  <si>
    <t>ITAPIPOCA</t>
  </si>
  <si>
    <t>ITAREMA</t>
  </si>
  <si>
    <t>JIJOCA</t>
  </si>
  <si>
    <t>PARACURU</t>
  </si>
  <si>
    <t>PARAIPABA</t>
  </si>
  <si>
    <t>S G AMARAN</t>
  </si>
  <si>
    <t>TRAIRI</t>
  </si>
  <si>
    <t>ALCANTARA</t>
  </si>
  <si>
    <t>APICUM-ACU</t>
  </si>
  <si>
    <t>ARAIOSES</t>
  </si>
  <si>
    <t>AXIXA</t>
  </si>
  <si>
    <t>BACURI</t>
  </si>
  <si>
    <t>BARREIRINHAS</t>
  </si>
  <si>
    <t>BEQUIMAO</t>
  </si>
  <si>
    <t>CANDIDO MENDES</t>
  </si>
  <si>
    <t>CARUTAPERA</t>
  </si>
  <si>
    <t>CEDRAL</t>
  </si>
  <si>
    <t>CURURUPU</t>
  </si>
  <si>
    <t>GODOFREDO VIANA</t>
  </si>
  <si>
    <t>GUIMARAES</t>
  </si>
  <si>
    <t>HUMBERTO DE CAMPOS</t>
  </si>
  <si>
    <t>ICATU</t>
  </si>
  <si>
    <t>LUIS DOMINGUES</t>
  </si>
  <si>
    <t>PACO DO LUMIAR</t>
  </si>
  <si>
    <t>PORTO RICO</t>
  </si>
  <si>
    <t>PRIMEIRA CRUZ</t>
  </si>
  <si>
    <t>RAPOSA</t>
  </si>
  <si>
    <t>SAO JOSE DE RIBAMAR</t>
  </si>
  <si>
    <t>SAO LUIZ</t>
  </si>
  <si>
    <t>TURIACU</t>
  </si>
  <si>
    <t>TUTOIA</t>
  </si>
  <si>
    <t>AUGUSTO CORREIA</t>
  </si>
  <si>
    <t>BELEM</t>
  </si>
  <si>
    <t>BRAGANCA</t>
  </si>
  <si>
    <t>COLARES</t>
  </si>
  <si>
    <t>CURUCA</t>
  </si>
  <si>
    <t>MARACANA</t>
  </si>
  <si>
    <t>MARAPANIM</t>
  </si>
  <si>
    <t>QUATIPURU</t>
  </si>
  <si>
    <t>SALINOPOLIS</t>
  </si>
  <si>
    <t>SALVATERRA</t>
  </si>
  <si>
    <t>SAO CAETANO ODIVELAS</t>
  </si>
  <si>
    <t>SAO JOAO PIRABAS</t>
  </si>
  <si>
    <t>SOURE</t>
  </si>
  <si>
    <t>VIGIA</t>
  </si>
  <si>
    <t>VISEU</t>
  </si>
  <si>
    <t>BAIA DA TRAI</t>
  </si>
  <si>
    <t>BAYEUX</t>
  </si>
  <si>
    <t>CABEDELO</t>
  </si>
  <si>
    <t>JOAO PESSOA</t>
  </si>
  <si>
    <t>LUCENA</t>
  </si>
  <si>
    <t>MARCACAO</t>
  </si>
  <si>
    <t>PITIMBU</t>
  </si>
  <si>
    <t>RIO TINTO</t>
  </si>
  <si>
    <t>SANTA RITA</t>
  </si>
  <si>
    <t>ABREU E LIMA</t>
  </si>
  <si>
    <t>GOIANA</t>
  </si>
  <si>
    <t>IGARASSU</t>
  </si>
  <si>
    <t>IPOJUCA</t>
  </si>
  <si>
    <t>ITAMARACA</t>
  </si>
  <si>
    <t>ITAPISSUMA</t>
  </si>
  <si>
    <t>JABOATAO</t>
  </si>
  <si>
    <t>OLINDA</t>
  </si>
  <si>
    <t>PAULISTA</t>
  </si>
  <si>
    <t>RECIFE</t>
  </si>
  <si>
    <t>RIO FORMOSO</t>
  </si>
  <si>
    <t>SAO JOSE DA</t>
  </si>
  <si>
    <t>SIRINHAEM</t>
  </si>
  <si>
    <t>TAMANDARE</t>
  </si>
  <si>
    <t>AREIA BRANCA</t>
  </si>
  <si>
    <t>ARES</t>
  </si>
  <si>
    <t>BAIA FORMOSA</t>
  </si>
  <si>
    <t>CAICARA DO N</t>
  </si>
  <si>
    <t>CANGUARETAMA</t>
  </si>
  <si>
    <t>CARNAUBAIS</t>
  </si>
  <si>
    <t>CEARA MIRIM</t>
  </si>
  <si>
    <t>EXTREMOZ</t>
  </si>
  <si>
    <t>GALINHOS</t>
  </si>
  <si>
    <t>GROSSOS</t>
  </si>
  <si>
    <t>GUAMARE</t>
  </si>
  <si>
    <t>MACAU</t>
  </si>
  <si>
    <t>MAXARANGUAPE</t>
  </si>
  <si>
    <t>NATAL</t>
  </si>
  <si>
    <t>NISIA FLORES</t>
  </si>
  <si>
    <t>PEDRA GRANDE</t>
  </si>
  <si>
    <t>PORTO DO MAN</t>
  </si>
  <si>
    <t>RIO DO FOGO</t>
  </si>
  <si>
    <t>SAO BENTO DO</t>
  </si>
  <si>
    <t>SAO MIGUEL D</t>
  </si>
  <si>
    <t>TIBAU</t>
  </si>
  <si>
    <t>TIBAU DO SUL</t>
  </si>
  <si>
    <t>TOUROS</t>
  </si>
  <si>
    <t>ALAGOAS</t>
  </si>
  <si>
    <t>BAHIA</t>
  </si>
  <si>
    <t>PERNAMBUCO</t>
  </si>
  <si>
    <t>RIO GRANDE DO NORTE</t>
  </si>
  <si>
    <t>ID_porto</t>
  </si>
  <si>
    <t>Porto</t>
  </si>
  <si>
    <t>PORTO DE JAT</t>
  </si>
  <si>
    <t>ARANAU</t>
  </si>
  <si>
    <t>BARRINHA</t>
  </si>
  <si>
    <t>ILHA DOS COQ</t>
  </si>
  <si>
    <t>VOLTA DO RIO</t>
  </si>
  <si>
    <t>BARRA</t>
  </si>
  <si>
    <t>CENTRO</t>
  </si>
  <si>
    <t>NOVELO</t>
  </si>
  <si>
    <t>SAO PEDRO</t>
  </si>
  <si>
    <t>ICARAI</t>
  </si>
  <si>
    <t>MOITAS</t>
  </si>
  <si>
    <t>SABIAGUABA</t>
  </si>
  <si>
    <t>BARRO PRETO</t>
  </si>
  <si>
    <t>BOCA DA BARR</t>
  </si>
  <si>
    <t>IGUAPE</t>
  </si>
  <si>
    <t>JAPAO</t>
  </si>
  <si>
    <t>PORTO DAS DU</t>
  </si>
  <si>
    <t>PRAINHA</t>
  </si>
  <si>
    <t>PRESIDIO</t>
  </si>
  <si>
    <t>MAJORLANDIA</t>
  </si>
  <si>
    <t>QUIXABA</t>
  </si>
  <si>
    <t>CRISTOVAO</t>
  </si>
  <si>
    <t>MATANCA</t>
  </si>
  <si>
    <t>MEL DE BAIXO</t>
  </si>
  <si>
    <t>MEL DE CIMA</t>
  </si>
  <si>
    <t>MERCADO DO P</t>
  </si>
  <si>
    <t>PONTA DO MEL</t>
  </si>
  <si>
    <t>PORTO DO ZE</t>
  </si>
  <si>
    <t>REDONDA</t>
  </si>
  <si>
    <t>UPANEMA</t>
  </si>
  <si>
    <t>CAMUCIM</t>
  </si>
  <si>
    <t>PATANE</t>
  </si>
  <si>
    <t>ARAI</t>
  </si>
  <si>
    <t>COROA COMPRIDA</t>
  </si>
  <si>
    <t>NOVA OLINDA</t>
  </si>
  <si>
    <t>PONTA DO URUMAJO</t>
  </si>
  <si>
    <t>ILHA DA CROA</t>
  </si>
  <si>
    <t>BITUPITA</t>
  </si>
  <si>
    <t>PORTO DA OFI</t>
  </si>
  <si>
    <t>PORTO DA PLA</t>
  </si>
  <si>
    <t>PORTO DO CAR</t>
  </si>
  <si>
    <t>PORTO DO MOI</t>
  </si>
  <si>
    <t>PORTO SANHAU</t>
  </si>
  <si>
    <t>PORTO SAO LO</t>
  </si>
  <si>
    <t>BARRA DA SUC</t>
  </si>
  <si>
    <t>MORRO BRANCO</t>
  </si>
  <si>
    <t>PARAJURU</t>
  </si>
  <si>
    <t>PRAINHA DO C</t>
  </si>
  <si>
    <t>URUAU</t>
  </si>
  <si>
    <t>COTIJUBA</t>
  </si>
  <si>
    <t>ICOARACI</t>
  </si>
  <si>
    <t>INDUSTRIA</t>
  </si>
  <si>
    <t>MAURICIA</t>
  </si>
  <si>
    <t>MOSQUEIRO</t>
  </si>
  <si>
    <t>URUBUOCA</t>
  </si>
  <si>
    <t>VER O PESO</t>
  </si>
  <si>
    <t>ABADE</t>
  </si>
  <si>
    <t>ABREU DO UNA</t>
  </si>
  <si>
    <t>ACAU</t>
  </si>
  <si>
    <t>ACUPE</t>
  </si>
  <si>
    <t>AE</t>
  </si>
  <si>
    <t>AJURUTEUA</t>
  </si>
  <si>
    <t>ALAGAMAR</t>
  </si>
  <si>
    <t>ALBATROZ</t>
  </si>
  <si>
    <t>ALGODOAL</t>
  </si>
  <si>
    <t>ALMOFALA</t>
  </si>
  <si>
    <t>ALTO DAS POM</t>
  </si>
  <si>
    <t>AMARO</t>
  </si>
  <si>
    <t>AMOREIRAS</t>
  </si>
  <si>
    <t>APEU</t>
  </si>
  <si>
    <t>APIQUES</t>
  </si>
  <si>
    <t>ARAQUAIM</t>
  </si>
  <si>
    <t>ARATUBA</t>
  </si>
  <si>
    <t>AREIA ALVAS</t>
  </si>
  <si>
    <t>AREMBEPE</t>
  </si>
  <si>
    <t>BACURITEUA</t>
  </si>
  <si>
    <t>BAIACU</t>
  </si>
  <si>
    <t>BAIXA VERDE</t>
  </si>
  <si>
    <t>BALEIA</t>
  </si>
  <si>
    <t>BARRA DE CAM</t>
  </si>
  <si>
    <t>BARRA DE CAR</t>
  </si>
  <si>
    <t>BARRA DE MAM</t>
  </si>
  <si>
    <t>BARRA DE SER</t>
  </si>
  <si>
    <t>BARRA DE SIR</t>
  </si>
  <si>
    <t>BARRA DO CEA</t>
  </si>
  <si>
    <t>BARRA DO MAM</t>
  </si>
  <si>
    <t>BARRA DOS CA</t>
  </si>
  <si>
    <t>BARRA NOVA</t>
  </si>
  <si>
    <t>BARRA VELHA</t>
  </si>
  <si>
    <t>BARREIRAS</t>
  </si>
  <si>
    <t>BATE ESTACA</t>
  </si>
  <si>
    <t>BELA VISTA</t>
  </si>
  <si>
    <t>BOA ESPERANCA</t>
  </si>
  <si>
    <t>BOA VISTA</t>
  </si>
  <si>
    <t>BOIPEBA</t>
  </si>
  <si>
    <t>BOITARACA</t>
  </si>
  <si>
    <t>BOM DESPACHO</t>
  </si>
  <si>
    <t>BOM JARDIM</t>
  </si>
  <si>
    <t>BOM JESUS</t>
  </si>
  <si>
    <t>BOM JESUS DO</t>
  </si>
  <si>
    <t>BRASILIA TEI</t>
  </si>
  <si>
    <t>BURAQUINHO</t>
  </si>
  <si>
    <t>CABUCU</t>
  </si>
  <si>
    <t>CAFEZAL</t>
  </si>
  <si>
    <t>CAICARA</t>
  </si>
  <si>
    <t>CAICARA I</t>
  </si>
  <si>
    <t>CAICARA/SAO</t>
  </si>
  <si>
    <t>CAIS DAS EMP</t>
  </si>
  <si>
    <t>CAIS DE SANT</t>
  </si>
  <si>
    <t>CAIS PESQUEI</t>
  </si>
  <si>
    <t>CAIXA PREGO</t>
  </si>
  <si>
    <t>CAJUEIRO</t>
  </si>
  <si>
    <t>CAMALAU</t>
  </si>
  <si>
    <t>CAMARA</t>
  </si>
  <si>
    <t>CAMPINHOS</t>
  </si>
  <si>
    <t>CAMURUGI</t>
  </si>
  <si>
    <t>CAMURUPIM</t>
  </si>
  <si>
    <t>CANA BRAVA</t>
  </si>
  <si>
    <t>CANDEIAS</t>
  </si>
  <si>
    <t>CANTO</t>
  </si>
  <si>
    <t>CANTO DO MAN</t>
  </si>
  <si>
    <t>CAPINHACU</t>
  </si>
  <si>
    <t>CAPONGA</t>
  </si>
  <si>
    <t>CARATATEUA</t>
  </si>
  <si>
    <t>CARMO</t>
  </si>
  <si>
    <t>CARNAUBINHA</t>
  </si>
  <si>
    <t>CARNE DE VAC</t>
  </si>
  <si>
    <t>CASTANHEIRA</t>
  </si>
  <si>
    <t>CASTELO</t>
  </si>
  <si>
    <t>CATUABA</t>
  </si>
  <si>
    <t>CERCADO GRAN</t>
  </si>
  <si>
    <t>COLONIA</t>
  </si>
  <si>
    <t>COQUEIRO</t>
  </si>
  <si>
    <t>COSTINHA</t>
  </si>
  <si>
    <t>COUTOS</t>
  </si>
  <si>
    <t>CUIARANA</t>
  </si>
  <si>
    <t>CUMBUCO</t>
  </si>
  <si>
    <t>CURUCAZINHO</t>
  </si>
  <si>
    <t>CURURU</t>
  </si>
  <si>
    <t>DERRUBADINHO</t>
  </si>
  <si>
    <t>DESTACADO</t>
  </si>
  <si>
    <t>DIOGO LOPES</t>
  </si>
  <si>
    <t>EMANOELA</t>
  </si>
  <si>
    <t>ENGENHO VELH</t>
  </si>
  <si>
    <t>ESCADA</t>
  </si>
  <si>
    <t>EXU QUEIMADO</t>
  </si>
  <si>
    <t>FAGUNDES</t>
  </si>
  <si>
    <t>FLECHEIRAS</t>
  </si>
  <si>
    <t>FORTE</t>
  </si>
  <si>
    <t>FORTE VELHO</t>
  </si>
  <si>
    <t>FRIG COSTA</t>
  </si>
  <si>
    <t>GADO BRAVO</t>
  </si>
  <si>
    <t>GAIBU</t>
  </si>
  <si>
    <t>GALEAO</t>
  </si>
  <si>
    <t>GALOS</t>
  </si>
  <si>
    <t>GAMBOA</t>
  </si>
  <si>
    <t>GARAPUA</t>
  </si>
  <si>
    <t>GRACIOSA</t>
  </si>
  <si>
    <t>GUAJARA</t>
  </si>
  <si>
    <t>GUAJIRU</t>
  </si>
  <si>
    <t>GUARAJUBAL</t>
  </si>
  <si>
    <t>GURIU</t>
  </si>
  <si>
    <t>ILHA DE MARI</t>
  </si>
  <si>
    <t>ILHA DO MARU</t>
  </si>
  <si>
    <t>IMBUACA</t>
  </si>
  <si>
    <t>IMBURANAS</t>
  </si>
  <si>
    <t>IPUPURA</t>
  </si>
  <si>
    <t>IRIRITEUA</t>
  </si>
  <si>
    <t>ITACARANHA</t>
  </si>
  <si>
    <t>ITAPOA</t>
  </si>
  <si>
    <t>ITAPUA</t>
  </si>
  <si>
    <t>JAGUARIBE</t>
  </si>
  <si>
    <t>JANGA</t>
  </si>
  <si>
    <t>JAPERICA</t>
  </si>
  <si>
    <t>JIRIBATUBA</t>
  </si>
  <si>
    <t>JOANES</t>
  </si>
  <si>
    <t>JORDAO</t>
  </si>
  <si>
    <t>JUBIM</t>
  </si>
  <si>
    <t>JUCARATEUA</t>
  </si>
  <si>
    <t>LAGOA DO SAL</t>
  </si>
  <si>
    <t>LAGOINHA</t>
  </si>
  <si>
    <t>LIMONDEUA</t>
  </si>
  <si>
    <t>MALHADO</t>
  </si>
  <si>
    <t>MANGUE SECO</t>
  </si>
  <si>
    <t>MANGUINHOS</t>
  </si>
  <si>
    <t>MARACAJAU</t>
  </si>
  <si>
    <t>MARATAUNA</t>
  </si>
  <si>
    <t>MAREZINHA</t>
  </si>
  <si>
    <t>MARIA FARINH</t>
  </si>
  <si>
    <t>MARUDA</t>
  </si>
  <si>
    <t>MATARANDIBA</t>
  </si>
  <si>
    <t>MISERICORDIA</t>
  </si>
  <si>
    <t>MOCAJATUBA</t>
  </si>
  <si>
    <t>MOTA</t>
  </si>
  <si>
    <t>MUCURIPE</t>
  </si>
  <si>
    <t>MUNDAU</t>
  </si>
  <si>
    <t>MURIU</t>
  </si>
  <si>
    <t>MUTUCAL</t>
  </si>
  <si>
    <t>NAGE</t>
  </si>
  <si>
    <t>NOVA CRUZ</t>
  </si>
  <si>
    <t>PACHECO</t>
  </si>
  <si>
    <t>PAJUÇARA</t>
  </si>
  <si>
    <t>PAJUSSARA</t>
  </si>
  <si>
    <t>PAO DE ACUCA</t>
  </si>
  <si>
    <t>PARA-MARANHAO</t>
  </si>
  <si>
    <t>PARIPE</t>
  </si>
  <si>
    <t>PAU A PIQUE</t>
  </si>
  <si>
    <t>PAU AMARELO</t>
  </si>
  <si>
    <t>PECEM</t>
  </si>
  <si>
    <t>PEDRAS</t>
  </si>
  <si>
    <t>PEDRINHAS</t>
  </si>
  <si>
    <t>PENHA</t>
  </si>
  <si>
    <t>PERERU</t>
  </si>
  <si>
    <t>PERNAMBUQUIN</t>
  </si>
  <si>
    <t>PEROBA</t>
  </si>
  <si>
    <t>PIEDADE</t>
  </si>
  <si>
    <t>PINA</t>
  </si>
  <si>
    <t>PITANGUI</t>
  </si>
  <si>
    <t>PITUBA</t>
  </si>
  <si>
    <t>POCAS</t>
  </si>
  <si>
    <t>POCO DA DRAG</t>
  </si>
  <si>
    <t>PONTA BOM JESUS</t>
  </si>
  <si>
    <t>PONTA DA TUL</t>
  </si>
  <si>
    <t>PONTA DE ARE</t>
  </si>
  <si>
    <t>PONTA DE MAT</t>
  </si>
  <si>
    <t>PONTA DE SOU</t>
  </si>
  <si>
    <t>PONTA DO RAM</t>
  </si>
  <si>
    <t>PONTA GROSSA</t>
  </si>
  <si>
    <t>PONTAL</t>
  </si>
  <si>
    <t>PONTAL DA BA</t>
  </si>
  <si>
    <t>PONTAL DE CO</t>
  </si>
  <si>
    <t>PONTAL DO PE</t>
  </si>
  <si>
    <t>PONTAS DE PE</t>
  </si>
  <si>
    <t>PONTINHA</t>
  </si>
  <si>
    <t>PORTO AGUA BOA</t>
  </si>
  <si>
    <t>PORTO BARREI</t>
  </si>
  <si>
    <t>PORTO DA BIR</t>
  </si>
  <si>
    <t>PORTO DA BRASILIA</t>
  </si>
  <si>
    <t>PORTO DA CAM</t>
  </si>
  <si>
    <t>PORTO DA COLONIA</t>
  </si>
  <si>
    <t>PORTO DA PRA</t>
  </si>
  <si>
    <t>PORTO DA RUA</t>
  </si>
  <si>
    <t>PORTO DE GAL</t>
  </si>
  <si>
    <t>PORTO DE GON</t>
  </si>
  <si>
    <t>PORTO DE MAC</t>
  </si>
  <si>
    <t>PORTO DE MOR</t>
  </si>
  <si>
    <t>PORTO DE NIS</t>
  </si>
  <si>
    <t>PORTO DO BEC</t>
  </si>
  <si>
    <t>PORTO DO FAT</t>
  </si>
  <si>
    <t>PORTO DO MAI</t>
  </si>
  <si>
    <t>PORTO DO MAT</t>
  </si>
  <si>
    <t>PORTO DO PUX</t>
  </si>
  <si>
    <t>PORTO DOS BA</t>
  </si>
  <si>
    <t>PORTO DOS BO</t>
  </si>
  <si>
    <t>PORTO DOS PI</t>
  </si>
  <si>
    <t>PORTO FELINO</t>
  </si>
  <si>
    <t>PORTO GRANDE</t>
  </si>
  <si>
    <t>PORTO JACARE</t>
  </si>
  <si>
    <t>PORTO JOSIMA</t>
  </si>
  <si>
    <t>PORTO MANGUI</t>
  </si>
  <si>
    <t>PORTO OLARIA</t>
  </si>
  <si>
    <t>PORTO SALGADINHO</t>
  </si>
  <si>
    <t>PORTO SAO JO</t>
  </si>
  <si>
    <t>POSTO DA COL</t>
  </si>
  <si>
    <t>POSTO PRAIA</t>
  </si>
  <si>
    <t>PRAIA DO CAC</t>
  </si>
  <si>
    <t>PRAIA DO FOR</t>
  </si>
  <si>
    <t>PRAIA DO SAB</t>
  </si>
  <si>
    <t>PRAIA DO SUA</t>
  </si>
  <si>
    <t>PREA</t>
  </si>
  <si>
    <t>QUARENTA DO MOCOOCA</t>
  </si>
  <si>
    <t>QUATRO CANTO</t>
  </si>
  <si>
    <t>QUITERIA</t>
  </si>
  <si>
    <t>RAMPA</t>
  </si>
  <si>
    <t>REDINHA</t>
  </si>
  <si>
    <t>REQUENGUELA</t>
  </si>
  <si>
    <t>RIBEIRA</t>
  </si>
  <si>
    <t>RIO DOCE</t>
  </si>
  <si>
    <t>RIO VERMELHO</t>
  </si>
  <si>
    <t>ROSADO</t>
  </si>
  <si>
    <t>S C ODIVELAS</t>
  </si>
  <si>
    <t>S J PIRABAS</t>
  </si>
  <si>
    <t>SANTA MARIA BARRETO</t>
  </si>
  <si>
    <t>SANTIAGO DO</t>
  </si>
  <si>
    <t>SANTO ANTONI</t>
  </si>
  <si>
    <t>SAO FRANCISC</t>
  </si>
  <si>
    <t>SAO JOAO DO RAMO</t>
  </si>
  <si>
    <t>SAO LORENCO</t>
  </si>
  <si>
    <t>SAO MIGUEL</t>
  </si>
  <si>
    <t>SEDE</t>
  </si>
  <si>
    <t>SERROTE</t>
  </si>
  <si>
    <t>SERTAOZINHO</t>
  </si>
  <si>
    <t>SIMOA</t>
  </si>
  <si>
    <t>SITIO DO CON</t>
  </si>
  <si>
    <t>SUAPE</t>
  </si>
  <si>
    <t>SUBAUMA</t>
  </si>
  <si>
    <t>SUMAUMA</t>
  </si>
  <si>
    <t>TAIBA</t>
  </si>
  <si>
    <t>TAIRU</t>
  </si>
  <si>
    <t>TAMARUTEUA NOVO</t>
  </si>
  <si>
    <t>TAMBAU</t>
  </si>
  <si>
    <t>TAPERACU</t>
  </si>
  <si>
    <t>TAPEREBATEUA</t>
  </si>
  <si>
    <t>TAPUIAS</t>
  </si>
  <si>
    <t>TATAJUBA</t>
  </si>
  <si>
    <t>TEJUCUPAPO</t>
  </si>
  <si>
    <t>TENTO</t>
  </si>
  <si>
    <t>TORROES</t>
  </si>
  <si>
    <t>TRAMATAIA</t>
  </si>
  <si>
    <t>TREMEMBE</t>
  </si>
  <si>
    <t>TUBARAO</t>
  </si>
  <si>
    <t>VALENCIA</t>
  </si>
  <si>
    <t>VARZEA NOVA</t>
  </si>
  <si>
    <t>VILA DO TREME</t>
  </si>
  <si>
    <t>ID_SIGBAR</t>
  </si>
  <si>
    <t>SIGBAR</t>
  </si>
  <si>
    <t>BAM</t>
  </si>
  <si>
    <t>BIM</t>
  </si>
  <si>
    <t>BIV</t>
  </si>
  <si>
    <t>CUR</t>
  </si>
  <si>
    <t>DES</t>
  </si>
  <si>
    <t>ID_Material</t>
  </si>
  <si>
    <t>Material</t>
  </si>
  <si>
    <t>ID_Propulsão</t>
  </si>
  <si>
    <t>Propulsão</t>
  </si>
  <si>
    <t>Id_Especie</t>
  </si>
  <si>
    <t>Especie</t>
  </si>
  <si>
    <t>ACARATINGA</t>
  </si>
  <si>
    <t>AGBRANCO</t>
  </si>
  <si>
    <t>AGNEGRO</t>
  </si>
  <si>
    <t>AGULHA</t>
  </si>
  <si>
    <t>AGULHOES</t>
  </si>
  <si>
    <t>ALBACORA</t>
  </si>
  <si>
    <t>AMOREIA</t>
  </si>
  <si>
    <t>ARABAIANA</t>
  </si>
  <si>
    <t>ARACIMBORA</t>
  </si>
  <si>
    <t>ARENQUE</t>
  </si>
  <si>
    <t>ARIACO</t>
  </si>
  <si>
    <t>BADEJO</t>
  </si>
  <si>
    <t>BAGRE</t>
  </si>
  <si>
    <t>BANDEIRADO</t>
  </si>
  <si>
    <t>BARBADO</t>
  </si>
  <si>
    <t>BARBUDO</t>
  </si>
  <si>
    <t>BEIJUPIRA</t>
  </si>
  <si>
    <t>BICUDA</t>
  </si>
  <si>
    <t>BIQUARA</t>
  </si>
  <si>
    <t>BODO</t>
  </si>
  <si>
    <t>BONITO</t>
  </si>
  <si>
    <t>BRANQUINHA</t>
  </si>
  <si>
    <t>BUDIAO</t>
  </si>
  <si>
    <t>CAMBEUA</t>
  </si>
  <si>
    <t>CAMBUBA</t>
  </si>
  <si>
    <t>CAMGUIRA</t>
  </si>
  <si>
    <t>CAMURIM</t>
  </si>
  <si>
    <t>CANGATA</t>
  </si>
  <si>
    <t>CANGULO</t>
  </si>
  <si>
    <t>CARACHIMBOL</t>
  </si>
  <si>
    <t>CARAJUBA</t>
  </si>
  <si>
    <t>CARANHA</t>
  </si>
  <si>
    <t>CARAPEBA</t>
  </si>
  <si>
    <t>CARAPICU</t>
  </si>
  <si>
    <t>CARAPITANGA</t>
  </si>
  <si>
    <t>CARAPO</t>
  </si>
  <si>
    <t>CAVALA</t>
  </si>
  <si>
    <t>CAVPRETA</t>
  </si>
  <si>
    <t>CHERNE</t>
  </si>
  <si>
    <t>CHICHARRO</t>
  </si>
  <si>
    <t>CIOBA</t>
  </si>
  <si>
    <t>CORAXIMBORA</t>
  </si>
  <si>
    <t>CORO</t>
  </si>
  <si>
    <t>CORVINA</t>
  </si>
  <si>
    <t>CURURUCA</t>
  </si>
  <si>
    <t>DENTAO</t>
  </si>
  <si>
    <t>DOURADA</t>
  </si>
  <si>
    <t>DOURADO</t>
  </si>
  <si>
    <t>ENCHOVA</t>
  </si>
  <si>
    <t>ESPADA</t>
  </si>
  <si>
    <t>ESPADARTE</t>
  </si>
  <si>
    <t>FIDALGO</t>
  </si>
  <si>
    <t>FILHOTE</t>
  </si>
  <si>
    <t>GALO</t>
  </si>
  <si>
    <t>GARACIBORA</t>
  </si>
  <si>
    <t>GARAPAU</t>
  </si>
  <si>
    <t>GARAXIMBOR</t>
  </si>
  <si>
    <t>GAROUPA</t>
  </si>
  <si>
    <t>GUAIUBA</t>
  </si>
  <si>
    <t>GUARAJUBA</t>
  </si>
  <si>
    <t>GUARAVIRA</t>
  </si>
  <si>
    <t>GURIJUBA</t>
  </si>
  <si>
    <t>JABU</t>
  </si>
  <si>
    <t>LAMBRETA</t>
  </si>
  <si>
    <t>LINGUADO</t>
  </si>
  <si>
    <t>MACUNIM</t>
  </si>
  <si>
    <t>MANDI.MOELA</t>
  </si>
  <si>
    <t>MAPARA</t>
  </si>
  <si>
    <t>MERO</t>
  </si>
  <si>
    <t>MORORO</t>
  </si>
  <si>
    <t>PACAMAO</t>
  </si>
  <si>
    <t>PALOMBETA</t>
  </si>
  <si>
    <t>PAMPO</t>
  </si>
  <si>
    <t>PAPUDA</t>
  </si>
  <si>
    <t>PARGO</t>
  </si>
  <si>
    <t>PARU</t>
  </si>
  <si>
    <t>PEIXE.GALO</t>
  </si>
  <si>
    <t>PEIXE.PEDRA</t>
  </si>
  <si>
    <t>PEIXE_REI</t>
  </si>
  <si>
    <t>PESCADA</t>
  </si>
  <si>
    <t>PESCADA.AMARELA</t>
  </si>
  <si>
    <t>PESCADA.BRANCA</t>
  </si>
  <si>
    <t>PESCADA.CAMBUCU</t>
  </si>
  <si>
    <t>PESCADA.GO</t>
  </si>
  <si>
    <t>PILOMBETA</t>
  </si>
  <si>
    <t>PIRAMUTABA</t>
  </si>
  <si>
    <t>PIRANGA</t>
  </si>
  <si>
    <t>PIRAPEMA</t>
  </si>
  <si>
    <t>PIRAPITINGA</t>
  </si>
  <si>
    <t>PIRARARA</t>
  </si>
  <si>
    <t>PIRATINGA</t>
  </si>
  <si>
    <t>PIRAUNA</t>
  </si>
  <si>
    <t>PIRUCAIA</t>
  </si>
  <si>
    <t>PITITINGA</t>
  </si>
  <si>
    <t>PRAMUTAUA</t>
  </si>
  <si>
    <t>PRATIQUEIRA</t>
  </si>
  <si>
    <t>SALEMA</t>
  </si>
  <si>
    <t>SAPURUNA</t>
  </si>
  <si>
    <t>SARAMUNETE</t>
  </si>
  <si>
    <t>SARDA</t>
  </si>
  <si>
    <t>SARDINHA</t>
  </si>
  <si>
    <t>SAUNA</t>
  </si>
  <si>
    <t>SERRA</t>
  </si>
  <si>
    <t>SIRIGADO</t>
  </si>
  <si>
    <t>TAINHA</t>
  </si>
  <si>
    <t>TIBIRO</t>
  </si>
  <si>
    <t>URBANO</t>
  </si>
  <si>
    <t>URICICA</t>
  </si>
  <si>
    <t>URITINGA</t>
  </si>
  <si>
    <t>URUMARU</t>
  </si>
  <si>
    <t>VERMELHO</t>
  </si>
  <si>
    <t>VOADOR</t>
  </si>
  <si>
    <t>XANGO</t>
  </si>
  <si>
    <t>XAREU</t>
  </si>
  <si>
    <t>XARRETA</t>
  </si>
  <si>
    <t>XIRA</t>
  </si>
  <si>
    <t>Total capturado (kg):</t>
  </si>
  <si>
    <t>Biometria</t>
  </si>
  <si>
    <t>ID_Desembarque</t>
  </si>
  <si>
    <t>Comprimento total (cm)</t>
  </si>
  <si>
    <t>Comprimento padrão (cm)</t>
  </si>
  <si>
    <t>Peso total (g)</t>
  </si>
  <si>
    <t>Sexo</t>
  </si>
  <si>
    <t>Estágio de Maturação</t>
  </si>
  <si>
    <t>Otólito</t>
  </si>
  <si>
    <t>Gônada</t>
  </si>
  <si>
    <t>Estômago</t>
  </si>
  <si>
    <t>ID_Sexo</t>
  </si>
  <si>
    <t>ID_Maturacao</t>
  </si>
  <si>
    <t>Maturação</t>
  </si>
  <si>
    <t>ID_MaterialColetado</t>
  </si>
  <si>
    <t>MaterialColetado</t>
  </si>
  <si>
    <t>Indeterminado</t>
  </si>
  <si>
    <t>Imaturo</t>
  </si>
  <si>
    <t>Sim</t>
  </si>
  <si>
    <t>Macho</t>
  </si>
  <si>
    <t>Em maturação</t>
  </si>
  <si>
    <t>Não</t>
  </si>
  <si>
    <t>Fêmea</t>
  </si>
  <si>
    <t>Maduro</t>
  </si>
  <si>
    <t>Esgotado</t>
  </si>
  <si>
    <t>NOMMUN</t>
  </si>
  <si>
    <t>NOMEMB</t>
  </si>
  <si>
    <t>NOMLOC</t>
  </si>
  <si>
    <t>SIGBAR2</t>
  </si>
  <si>
    <t>DATSAI</t>
  </si>
  <si>
    <t>DATCHE</t>
  </si>
  <si>
    <t>SIGART</t>
  </si>
  <si>
    <t>SIGART2</t>
  </si>
  <si>
    <t>MesAno</t>
  </si>
  <si>
    <t>DiasMar</t>
  </si>
  <si>
    <t>QUANTI</t>
  </si>
  <si>
    <t>COMART</t>
  </si>
  <si>
    <t>NUMPES</t>
  </si>
  <si>
    <t>PESPRI</t>
  </si>
  <si>
    <t>Total</t>
  </si>
  <si>
    <t>Status</t>
  </si>
  <si>
    <t>Autor</t>
  </si>
  <si>
    <t>Esforço</t>
  </si>
  <si>
    <t>Arte de pesca:</t>
  </si>
  <si>
    <t>Número de petrechos:</t>
  </si>
  <si>
    <t>Comprimento do petrecho (m):</t>
  </si>
  <si>
    <t>Número de pescadores:</t>
  </si>
  <si>
    <t>Pesqueiro Principal:</t>
  </si>
  <si>
    <t>Área de pesca:</t>
  </si>
  <si>
    <t>Número de lances:</t>
  </si>
  <si>
    <t>Turno:</t>
  </si>
  <si>
    <t>ARMADILHA</t>
  </si>
  <si>
    <t>ARPAO</t>
  </si>
  <si>
    <t>ARRASTAO PRAIA</t>
  </si>
  <si>
    <t>ARRASTO DUPLO</t>
  </si>
  <si>
    <t>ARRASTO SIMPLES</t>
  </si>
  <si>
    <t>BICHEIRO</t>
  </si>
  <si>
    <t>CACOEIRA</t>
  </si>
  <si>
    <t>CAMARAOZEIRA</t>
  </si>
  <si>
    <t>CANGALHA</t>
  </si>
  <si>
    <t>COLETA MANUAL</t>
  </si>
  <si>
    <t>COMPRESSOR</t>
  </si>
  <si>
    <t>COMPRESSOR PEIXE</t>
  </si>
  <si>
    <t>COUCA</t>
  </si>
  <si>
    <t>COVO</t>
  </si>
  <si>
    <t>COVO ARATU</t>
  </si>
  <si>
    <t>COVO CAMARAO</t>
  </si>
  <si>
    <t>COVO CARANGUEJO</t>
  </si>
  <si>
    <t>COVO LAGOSTA</t>
  </si>
  <si>
    <t>COVO PEIXE</t>
  </si>
  <si>
    <t>COVO SIRI</t>
  </si>
  <si>
    <t>CURRAL</t>
  </si>
  <si>
    <t>CURRAL FORA</t>
  </si>
  <si>
    <t>EMALHE</t>
  </si>
  <si>
    <t>ESPINHEL</t>
  </si>
  <si>
    <t>ESPINHEL FUNDO</t>
  </si>
  <si>
    <t>ESPINHEL LONG LINE</t>
  </si>
  <si>
    <t>GAIOLINHA</t>
  </si>
  <si>
    <t>GANCHO</t>
  </si>
  <si>
    <t>JERERE</t>
  </si>
  <si>
    <t>LINHA</t>
  </si>
  <si>
    <t>LINHA ARATU</t>
  </si>
  <si>
    <t>LINHA CORSO</t>
  </si>
  <si>
    <t>LINHA DE MAO</t>
  </si>
  <si>
    <t>MANGOTE</t>
  </si>
  <si>
    <t>MANZUA</t>
  </si>
  <si>
    <t>MANZUA LAGOS</t>
  </si>
  <si>
    <t>MANZUA PEIXE</t>
  </si>
  <si>
    <t>MERGULHO</t>
  </si>
  <si>
    <t>MERGULHO LIVRE</t>
  </si>
  <si>
    <t>OPERACAO MANUAL</t>
  </si>
  <si>
    <t>PARGUEIRA</t>
  </si>
  <si>
    <t>POTE</t>
  </si>
  <si>
    <t>PUCA</t>
  </si>
  <si>
    <t>RATOEIRA</t>
  </si>
  <si>
    <t>REDE AGULHA</t>
  </si>
  <si>
    <t>REDE ARRASTO</t>
  </si>
  <si>
    <t>REDE CAMARAO</t>
  </si>
  <si>
    <t>REDE CERCO</t>
  </si>
  <si>
    <t>REDE ESPERA</t>
  </si>
  <si>
    <t>REDE GROSSA</t>
  </si>
  <si>
    <t>REDE TAPAGEM</t>
  </si>
  <si>
    <t>RENGALHO</t>
  </si>
  <si>
    <t>RESSA PARA PEIXE</t>
  </si>
  <si>
    <t>SARDINHEIRA</t>
  </si>
  <si>
    <t>SAUNEIRA</t>
  </si>
  <si>
    <t>TAINHEIRA</t>
  </si>
  <si>
    <t>TARRAFA</t>
  </si>
  <si>
    <t>TETEIA</t>
  </si>
  <si>
    <t>TICUCA</t>
  </si>
  <si>
    <t>TRESMALHO</t>
  </si>
  <si>
    <t>VARA ARATU</t>
  </si>
  <si>
    <t>ID_SIGART</t>
  </si>
  <si>
    <t>espe</t>
  </si>
  <si>
    <t>DATATUA</t>
  </si>
  <si>
    <t>ID_desem</t>
  </si>
  <si>
    <t>count</t>
  </si>
  <si>
    <t>NOVO</t>
  </si>
  <si>
    <t>Turno</t>
  </si>
  <si>
    <t>ID_Area</t>
  </si>
  <si>
    <t>Prof</t>
  </si>
  <si>
    <t>NLances</t>
  </si>
  <si>
    <t>Profundidade (m):</t>
  </si>
  <si>
    <t>count1</t>
  </si>
  <si>
    <t>ID_turno</t>
  </si>
  <si>
    <t>0 a 6</t>
  </si>
  <si>
    <t>6 a 12</t>
  </si>
  <si>
    <t>12 a 18</t>
  </si>
  <si>
    <t>18 a 24</t>
  </si>
  <si>
    <t>-</t>
  </si>
  <si>
    <t>NUMLAN</t>
  </si>
  <si>
    <t>Novos cadastros</t>
  </si>
  <si>
    <t>Tipo da embarcação:</t>
  </si>
  <si>
    <t>Latitude:</t>
  </si>
  <si>
    <t>Longitude:</t>
  </si>
  <si>
    <t>Tipo do casco:</t>
  </si>
  <si>
    <t>Tamanho da embarcação (m):</t>
  </si>
  <si>
    <t>Nome popular:</t>
  </si>
  <si>
    <t>Família:</t>
  </si>
  <si>
    <t>Gênero:</t>
  </si>
  <si>
    <t>Espécie:</t>
  </si>
  <si>
    <t>ID_Estado</t>
  </si>
  <si>
    <t>Familia</t>
  </si>
  <si>
    <t>Genero</t>
  </si>
  <si>
    <t>ID_Pesqueiro</t>
  </si>
  <si>
    <t>Pesqueiro</t>
  </si>
  <si>
    <t>Lat</t>
  </si>
  <si>
    <t>Lon</t>
  </si>
  <si>
    <t>Id_NomeEmbarcacao</t>
  </si>
  <si>
    <t>NomeEmbarcacao</t>
  </si>
  <si>
    <t>Casco</t>
  </si>
  <si>
    <t>Propulsao</t>
  </si>
  <si>
    <t>Tamanho</t>
  </si>
  <si>
    <t>Tipo</t>
  </si>
  <si>
    <t>BARCO A MOTOR GRANDE</t>
  </si>
  <si>
    <t>BARCO A MOTOR MEDIO</t>
  </si>
  <si>
    <t>BARCO A MOTOR PEQUENO</t>
  </si>
  <si>
    <t>BARCO INDUSTRIAL</t>
  </si>
  <si>
    <t>BARCO MOTORIZADO</t>
  </si>
  <si>
    <t>BARCO PEQUENO PORTE</t>
  </si>
  <si>
    <t>BATEIRA</t>
  </si>
  <si>
    <t>BOTE A REMO</t>
  </si>
  <si>
    <t>BOTE A VELA</t>
  </si>
  <si>
    <t>BOTE MOTORIZADO</t>
  </si>
  <si>
    <t>CANOA</t>
  </si>
  <si>
    <t>CANOA MOTORIZADA</t>
  </si>
  <si>
    <t>CANOA REMO</t>
  </si>
  <si>
    <t>CANOA VELA</t>
  </si>
  <si>
    <t>CATAMARA</t>
  </si>
  <si>
    <t>CATRAIA ALUMINIO</t>
  </si>
  <si>
    <t>GELADEIRA</t>
  </si>
  <si>
    <t>GELEIRA</t>
  </si>
  <si>
    <t>JANGADA</t>
  </si>
  <si>
    <t>LANCHA DE MADERIA PEQUENA</t>
  </si>
  <si>
    <t>LANCHA INDUSTRIAL</t>
  </si>
  <si>
    <t>LANCHA INDUSTRIAL GRANDE</t>
  </si>
  <si>
    <t>LANCHA INDUSTRIAL MEDIA</t>
  </si>
  <si>
    <t>LANCHA INDUSTRIAL PEQUENA</t>
  </si>
  <si>
    <t>MARISQUEIRAS</t>
  </si>
  <si>
    <t>MONTARIA</t>
  </si>
  <si>
    <t>PAQUETE</t>
  </si>
  <si>
    <t>PAQUETE MOTORIZADO</t>
  </si>
  <si>
    <t>PAQUETE REMO</t>
  </si>
  <si>
    <t>SAVEIRO GRANDE</t>
  </si>
  <si>
    <t>SAVEIRO MEDIO</t>
  </si>
  <si>
    <t>SAVEIRO PEQUENO</t>
  </si>
  <si>
    <t>MADEIRA</t>
  </si>
  <si>
    <t>METAL</t>
  </si>
  <si>
    <t>FIBRA DE VIDRO</t>
  </si>
  <si>
    <t>VELA</t>
  </si>
  <si>
    <t>MOTOR</t>
  </si>
  <si>
    <t>REMO</t>
  </si>
  <si>
    <t>MADRUGADA</t>
  </si>
  <si>
    <t>TARDE</t>
  </si>
  <si>
    <t>NOITE</t>
  </si>
  <si>
    <t>TamanhoEmb</t>
  </si>
  <si>
    <t>NomePopular</t>
  </si>
  <si>
    <t>PARA</t>
  </si>
  <si>
    <t>CEARA</t>
  </si>
  <si>
    <t>MARANHAO</t>
  </si>
  <si>
    <t>PARAIBA</t>
  </si>
  <si>
    <t>MANHA</t>
  </si>
  <si>
    <t>Peso eviscerado (g)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</si>
</sst>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E+00"/>
  </numFmts>
  <fonts count="2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Rockwell"/>
      <family val="1"/>
    </font>
    <font>
      <sz val="14"/>
      <name val="Rockwell"/>
      <family val="1"/>
    </font>
    <font>
      <sz val="16"/>
      <color theme="0"/>
      <name val="Rockwell"/>
      <family val="1"/>
    </font>
    <font>
      <sz val="16"/>
      <color theme="1"/>
      <name val="Rockwell"/>
      <family val="1"/>
    </font>
    <font>
      <sz val="18"/>
      <color theme="1"/>
      <name val="Rockwell"/>
      <family val="1"/>
    </font>
    <font>
      <sz val="16"/>
      <color theme="0"/>
      <name val="Calibri"/>
      <family val="2"/>
      <scheme val="minor"/>
    </font>
    <font>
      <b/>
      <sz val="14"/>
      <color theme="0"/>
      <name val="Rockwell"/>
      <family val="1"/>
    </font>
    <font>
      <sz val="14"/>
      <color theme="1" tint="0.24994659260841701"/>
      <name val="Rockwell"/>
      <family val="1"/>
    </font>
    <font>
      <sz val="11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 tint="0.24994659260841701"/>
      <name val="Rockwell"/>
      <family val="1"/>
    </font>
    <font>
      <sz val="12"/>
      <color theme="1"/>
      <name val="Calibri"/>
      <family val="2"/>
      <scheme val="minor"/>
    </font>
    <font>
      <sz val="12"/>
      <name val="Rockwell"/>
      <family val="1"/>
    </font>
    <font>
      <sz val="16"/>
      <name val="Calibri"/>
      <family val="2"/>
      <scheme val="minor"/>
    </font>
    <font>
      <u/>
      <sz val="16"/>
      <color theme="1"/>
      <name val="Rockwell"/>
      <family val="1"/>
    </font>
    <font>
      <u/>
      <sz val="16"/>
      <name val="Rockwell"/>
      <family val="1"/>
    </font>
    <font>
      <b/>
      <sz val="16"/>
      <color theme="1"/>
      <name val="Rockwell"/>
      <family val="1"/>
    </font>
    <font>
      <b/>
      <sz val="16"/>
      <name val="Rockwell"/>
      <family val="1"/>
    </font>
    <font>
      <sz val="18"/>
      <color theme="0"/>
      <name val="Rockwell"/>
      <family val="1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9DCF3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9">
    <xf numFmtId="0" fontId="0" fillId="0" borderId="0" xfId="0"/>
    <xf numFmtId="0" fontId="1" fillId="2" borderId="0" xfId="0" applyFont="1" applyFill="1"/>
    <xf numFmtId="0" fontId="3" fillId="2" borderId="0" xfId="0" applyFont="1" applyFill="1"/>
    <xf numFmtId="14" fontId="0" fillId="0" borderId="0" xfId="0" applyNumberFormat="1"/>
    <xf numFmtId="0" fontId="15" fillId="0" borderId="0" xfId="0" applyFont="1" applyFill="1" applyBorder="1" applyAlignment="1">
      <alignment horizontal="center" vertical="center"/>
    </xf>
    <xf numFmtId="0" fontId="10" fillId="0" borderId="0" xfId="0" applyFont="1" applyFill="1"/>
    <xf numFmtId="2" fontId="10" fillId="0" borderId="0" xfId="0" applyNumberFormat="1" applyFont="1" applyFill="1"/>
    <xf numFmtId="16" fontId="10" fillId="0" borderId="0" xfId="0" applyNumberFormat="1" applyFont="1" applyFill="1"/>
    <xf numFmtId="0" fontId="16" fillId="0" borderId="0" xfId="0" applyFont="1" applyFill="1"/>
    <xf numFmtId="0" fontId="1" fillId="2" borderId="0" xfId="0" applyFont="1" applyFill="1" applyProtection="1"/>
    <xf numFmtId="0" fontId="0" fillId="2" borderId="0" xfId="0" applyFill="1" applyProtection="1"/>
    <xf numFmtId="0" fontId="0" fillId="0" borderId="0" xfId="0" applyProtection="1"/>
    <xf numFmtId="0" fontId="4" fillId="3" borderId="1" xfId="0" applyFont="1" applyFill="1" applyBorder="1" applyProtection="1"/>
    <xf numFmtId="0" fontId="2" fillId="3" borderId="2" xfId="0" applyFont="1" applyFill="1" applyBorder="1" applyProtection="1"/>
    <xf numFmtId="0" fontId="2" fillId="3" borderId="3" xfId="0" applyFont="1" applyFill="1" applyBorder="1" applyProtection="1"/>
    <xf numFmtId="0" fontId="10" fillId="2" borderId="0" xfId="0" applyFont="1" applyFill="1" applyProtection="1"/>
    <xf numFmtId="0" fontId="5" fillId="3" borderId="2" xfId="0" applyFont="1" applyFill="1" applyBorder="1" applyProtection="1"/>
    <xf numFmtId="0" fontId="5" fillId="3" borderId="3" xfId="0" applyFont="1" applyFill="1" applyBorder="1" applyProtection="1"/>
    <xf numFmtId="0" fontId="12" fillId="2" borderId="0" xfId="0" applyFont="1" applyFill="1" applyProtection="1"/>
    <xf numFmtId="0" fontId="7" fillId="2" borderId="0" xfId="0" applyFont="1" applyFill="1" applyProtection="1"/>
    <xf numFmtId="0" fontId="1" fillId="2" borderId="0" xfId="0" applyFont="1" applyFill="1" applyAlignment="1" applyProtection="1">
      <alignment vertical="center"/>
    </xf>
    <xf numFmtId="0" fontId="0" fillId="0" borderId="0" xfId="0" applyAlignment="1" applyProtection="1">
      <alignment vertical="center"/>
    </xf>
    <xf numFmtId="0" fontId="3" fillId="6" borderId="0" xfId="0" applyFont="1" applyFill="1" applyBorder="1" applyAlignment="1" applyProtection="1">
      <alignment horizontal="center" vertical="center"/>
      <protection locked="0"/>
    </xf>
    <xf numFmtId="0" fontId="3" fillId="6" borderId="8" xfId="0" applyFont="1" applyFill="1" applyBorder="1" applyAlignment="1" applyProtection="1">
      <alignment horizontal="center" vertical="center"/>
      <protection locked="0"/>
    </xf>
    <xf numFmtId="0" fontId="3" fillId="7" borderId="0" xfId="0" applyFont="1" applyFill="1" applyBorder="1" applyAlignment="1" applyProtection="1">
      <alignment horizontal="center" vertical="center"/>
      <protection locked="0"/>
    </xf>
    <xf numFmtId="0" fontId="3" fillId="7" borderId="8" xfId="0" applyFont="1" applyFill="1" applyBorder="1" applyAlignment="1" applyProtection="1">
      <alignment horizontal="center" vertical="center"/>
      <protection locked="0"/>
    </xf>
    <xf numFmtId="0" fontId="3" fillId="7" borderId="5" xfId="0" applyFont="1" applyFill="1" applyBorder="1" applyAlignment="1" applyProtection="1">
      <alignment horizontal="center" vertical="center"/>
      <protection locked="0"/>
    </xf>
    <xf numFmtId="0" fontId="3" fillId="7" borderId="6" xfId="0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Protection="1"/>
    <xf numFmtId="0" fontId="9" fillId="3" borderId="2" xfId="0" applyFont="1" applyFill="1" applyBorder="1" applyProtection="1"/>
    <xf numFmtId="0" fontId="9" fillId="3" borderId="3" xfId="0" applyFont="1" applyFill="1" applyBorder="1" applyProtection="1"/>
    <xf numFmtId="0" fontId="2" fillId="2" borderId="0" xfId="0" applyFont="1" applyFill="1" applyBorder="1" applyProtection="1"/>
    <xf numFmtId="0" fontId="2" fillId="2" borderId="0" xfId="0" applyFont="1" applyFill="1" applyProtection="1"/>
    <xf numFmtId="0" fontId="3" fillId="6" borderId="7" xfId="0" applyFont="1" applyFill="1" applyBorder="1" applyAlignment="1" applyProtection="1">
      <alignment horizontal="center" vertical="center"/>
    </xf>
    <xf numFmtId="0" fontId="1" fillId="2" borderId="0" xfId="0" applyFont="1" applyFill="1" applyBorder="1" applyProtection="1"/>
    <xf numFmtId="0" fontId="11" fillId="2" borderId="0" xfId="0" applyFont="1" applyFill="1" applyProtection="1"/>
    <xf numFmtId="0" fontId="3" fillId="7" borderId="7" xfId="0" applyFont="1" applyFill="1" applyBorder="1" applyAlignment="1" applyProtection="1">
      <alignment horizontal="center" vertical="center"/>
    </xf>
    <xf numFmtId="0" fontId="19" fillId="2" borderId="7" xfId="0" applyFont="1" applyFill="1" applyBorder="1" applyAlignment="1" applyProtection="1">
      <alignment vertical="center"/>
    </xf>
    <xf numFmtId="0" fontId="19" fillId="2" borderId="0" xfId="0" applyFont="1" applyFill="1" applyBorder="1" applyAlignment="1" applyProtection="1">
      <alignment vertical="center"/>
    </xf>
    <xf numFmtId="14" fontId="0" fillId="0" borderId="0" xfId="0" applyNumberFormat="1" applyProtection="1"/>
    <xf numFmtId="0" fontId="0" fillId="0" borderId="0" xfId="0" applyNumberFormat="1" applyProtection="1"/>
    <xf numFmtId="2" fontId="0" fillId="0" borderId="0" xfId="0" applyNumberFormat="1" applyProtection="1"/>
    <xf numFmtId="0" fontId="4" fillId="3" borderId="9" xfId="0" applyFont="1" applyFill="1" applyBorder="1" applyProtection="1"/>
    <xf numFmtId="0" fontId="21" fillId="3" borderId="10" xfId="0" applyFont="1" applyFill="1" applyBorder="1" applyProtection="1"/>
    <xf numFmtId="0" fontId="21" fillId="3" borderId="11" xfId="0" applyFont="1" applyFill="1" applyBorder="1" applyProtection="1"/>
    <xf numFmtId="0" fontId="21" fillId="2" borderId="0" xfId="0" applyFont="1" applyFill="1" applyProtection="1"/>
    <xf numFmtId="0" fontId="0" fillId="4" borderId="7" xfId="0" applyFill="1" applyBorder="1" applyProtection="1"/>
    <xf numFmtId="0" fontId="0" fillId="4" borderId="0" xfId="0" applyFill="1" applyBorder="1" applyProtection="1"/>
    <xf numFmtId="0" fontId="0" fillId="4" borderId="8" xfId="0" applyFill="1" applyBorder="1" applyProtection="1"/>
    <xf numFmtId="0" fontId="17" fillId="4" borderId="7" xfId="0" applyFont="1" applyFill="1" applyBorder="1" applyAlignment="1" applyProtection="1">
      <alignment horizontal="right"/>
    </xf>
    <xf numFmtId="0" fontId="0" fillId="8" borderId="7" xfId="0" applyFill="1" applyBorder="1" applyProtection="1"/>
    <xf numFmtId="0" fontId="0" fillId="8" borderId="0" xfId="0" applyFill="1" applyBorder="1" applyProtection="1"/>
    <xf numFmtId="0" fontId="0" fillId="8" borderId="8" xfId="0" applyFill="1" applyBorder="1" applyProtection="1"/>
    <xf numFmtId="0" fontId="5" fillId="8" borderId="0" xfId="0" applyFont="1" applyFill="1" applyBorder="1" applyProtection="1"/>
    <xf numFmtId="0" fontId="0" fillId="8" borderId="4" xfId="0" applyFill="1" applyBorder="1" applyProtection="1"/>
    <xf numFmtId="0" fontId="0" fillId="8" borderId="5" xfId="0" applyFill="1" applyBorder="1" applyProtection="1"/>
    <xf numFmtId="0" fontId="0" fillId="8" borderId="6" xfId="0" applyFill="1" applyBorder="1" applyProtection="1"/>
    <xf numFmtId="164" fontId="0" fillId="2" borderId="0" xfId="0" applyNumberFormat="1" applyFill="1" applyProtection="1"/>
    <xf numFmtId="0" fontId="19" fillId="8" borderId="0" xfId="0" applyFont="1" applyFill="1" applyBorder="1" applyAlignment="1" applyProtection="1">
      <protection locked="0"/>
    </xf>
    <xf numFmtId="0" fontId="19" fillId="8" borderId="17" xfId="0" applyFont="1" applyFill="1" applyBorder="1" applyAlignment="1" applyProtection="1">
      <protection locked="0"/>
    </xf>
    <xf numFmtId="0" fontId="0" fillId="0" borderId="0" xfId="0" applyFill="1"/>
    <xf numFmtId="0" fontId="13" fillId="0" borderId="0" xfId="0" applyFont="1" applyFill="1" applyBorder="1" applyAlignment="1">
      <alignment horizontal="center" vertical="center"/>
    </xf>
    <xf numFmtId="0" fontId="14" fillId="0" borderId="0" xfId="0" applyFont="1" applyFill="1" applyAlignment="1"/>
    <xf numFmtId="14" fontId="0" fillId="0" borderId="0" xfId="0" applyNumberFormat="1" applyFill="1"/>
    <xf numFmtId="0" fontId="3" fillId="4" borderId="9" xfId="0" applyFont="1" applyFill="1" applyBorder="1" applyAlignment="1" applyProtection="1">
      <alignment horizontal="center" vertical="center"/>
    </xf>
    <xf numFmtId="0" fontId="3" fillId="4" borderId="10" xfId="0" applyFont="1" applyFill="1" applyBorder="1" applyAlignment="1" applyProtection="1">
      <alignment horizontal="center" vertical="center"/>
    </xf>
    <xf numFmtId="0" fontId="3" fillId="4" borderId="10" xfId="0" applyFont="1" applyFill="1" applyBorder="1" applyAlignment="1" applyProtection="1">
      <alignment horizontal="center" vertical="center" wrapText="1"/>
    </xf>
    <xf numFmtId="0" fontId="3" fillId="4" borderId="11" xfId="0" applyFont="1" applyFill="1" applyBorder="1" applyAlignment="1" applyProtection="1">
      <alignment horizontal="center" vertical="center" wrapText="1"/>
    </xf>
    <xf numFmtId="0" fontId="3" fillId="6" borderId="7" xfId="0" applyFont="1" applyFill="1" applyBorder="1" applyAlignment="1" applyProtection="1">
      <alignment horizontal="center" vertical="center"/>
      <protection locked="0"/>
    </xf>
    <xf numFmtId="0" fontId="3" fillId="7" borderId="7" xfId="0" applyFont="1" applyFill="1" applyBorder="1" applyAlignment="1" applyProtection="1">
      <alignment horizontal="center" vertical="center"/>
      <protection locked="0"/>
    </xf>
    <xf numFmtId="0" fontId="3" fillId="7" borderId="4" xfId="0" applyFont="1" applyFill="1" applyBorder="1" applyAlignment="1" applyProtection="1">
      <alignment horizontal="center" vertical="center"/>
      <protection locked="0"/>
    </xf>
    <xf numFmtId="0" fontId="4" fillId="3" borderId="2" xfId="0" applyFont="1" applyFill="1" applyBorder="1" applyAlignment="1" applyProtection="1">
      <alignment horizontal="center" vertical="center"/>
    </xf>
    <xf numFmtId="0" fontId="4" fillId="3" borderId="3" xfId="0" applyFont="1" applyFill="1" applyBorder="1" applyAlignment="1" applyProtection="1">
      <alignment horizontal="center" vertical="center"/>
    </xf>
    <xf numFmtId="2" fontId="4" fillId="3" borderId="5" xfId="0" applyNumberFormat="1" applyFont="1" applyFill="1" applyBorder="1" applyAlignment="1" applyProtection="1">
      <alignment horizontal="center" vertical="center"/>
    </xf>
    <xf numFmtId="2" fontId="4" fillId="3" borderId="6" xfId="0" applyNumberFormat="1" applyFont="1" applyFill="1" applyBorder="1" applyAlignment="1" applyProtection="1">
      <alignment horizontal="center" vertical="center"/>
    </xf>
    <xf numFmtId="2" fontId="6" fillId="5" borderId="0" xfId="0" applyNumberFormat="1" applyFont="1" applyFill="1" applyBorder="1" applyAlignment="1" applyProtection="1">
      <alignment horizontal="center" vertical="center"/>
      <protection locked="0"/>
    </xf>
    <xf numFmtId="2" fontId="6" fillId="5" borderId="8" xfId="0" applyNumberFormat="1" applyFont="1" applyFill="1" applyBorder="1" applyAlignment="1" applyProtection="1">
      <alignment horizontal="center" vertical="center"/>
      <protection locked="0"/>
    </xf>
    <xf numFmtId="2" fontId="6" fillId="4" borderId="7" xfId="0" applyNumberFormat="1" applyFont="1" applyFill="1" applyBorder="1" applyAlignment="1" applyProtection="1">
      <alignment horizontal="center" vertical="center"/>
      <protection locked="0"/>
    </xf>
    <xf numFmtId="2" fontId="6" fillId="4" borderId="0" xfId="0" applyNumberFormat="1" applyFont="1" applyFill="1" applyBorder="1" applyAlignment="1" applyProtection="1">
      <alignment horizontal="center" vertical="center"/>
      <protection locked="0"/>
    </xf>
    <xf numFmtId="0" fontId="4" fillId="3" borderId="4" xfId="0" applyFont="1" applyFill="1" applyBorder="1" applyAlignment="1" applyProtection="1">
      <alignment horizontal="center" vertical="center"/>
    </xf>
    <xf numFmtId="0" fontId="4" fillId="3" borderId="5" xfId="0" applyFont="1" applyFill="1" applyBorder="1" applyAlignment="1" applyProtection="1">
      <alignment horizontal="center" vertical="center"/>
    </xf>
    <xf numFmtId="2" fontId="6" fillId="4" borderId="8" xfId="0" applyNumberFormat="1" applyFont="1" applyFill="1" applyBorder="1" applyAlignment="1" applyProtection="1">
      <alignment horizontal="center" vertical="center"/>
      <protection locked="0"/>
    </xf>
    <xf numFmtId="2" fontId="6" fillId="5" borderId="7" xfId="0" applyNumberFormat="1" applyFont="1" applyFill="1" applyBorder="1" applyAlignment="1" applyProtection="1">
      <alignment horizontal="center" vertical="center"/>
      <protection locked="0"/>
    </xf>
    <xf numFmtId="0" fontId="19" fillId="4" borderId="4" xfId="0" applyFont="1" applyFill="1" applyBorder="1" applyAlignment="1" applyProtection="1">
      <alignment horizontal="left" vertical="center"/>
      <protection locked="0"/>
    </xf>
    <xf numFmtId="0" fontId="19" fillId="4" borderId="5" xfId="0" applyFont="1" applyFill="1" applyBorder="1" applyAlignment="1" applyProtection="1">
      <alignment horizontal="left" vertical="center"/>
      <protection locked="0"/>
    </xf>
    <xf numFmtId="0" fontId="17" fillId="4" borderId="7" xfId="0" applyFont="1" applyFill="1" applyBorder="1" applyAlignment="1" applyProtection="1">
      <alignment horizontal="left"/>
    </xf>
    <xf numFmtId="0" fontId="17" fillId="4" borderId="0" xfId="0" applyFont="1" applyFill="1" applyBorder="1" applyAlignment="1" applyProtection="1">
      <alignment horizontal="left"/>
    </xf>
    <xf numFmtId="0" fontId="19" fillId="4" borderId="7" xfId="0" applyFont="1" applyFill="1" applyBorder="1" applyAlignment="1" applyProtection="1">
      <alignment horizontal="left" vertical="center"/>
    </xf>
    <xf numFmtId="0" fontId="19" fillId="4" borderId="0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20" fillId="4" borderId="4" xfId="0" applyFont="1" applyFill="1" applyBorder="1" applyAlignment="1" applyProtection="1">
      <alignment horizontal="left" vertical="center"/>
      <protection locked="0"/>
    </xf>
    <xf numFmtId="0" fontId="20" fillId="4" borderId="5" xfId="0" applyFont="1" applyFill="1" applyBorder="1" applyAlignment="1" applyProtection="1">
      <alignment horizontal="left" vertical="center"/>
      <protection locked="0"/>
    </xf>
    <xf numFmtId="14" fontId="20" fillId="4" borderId="5" xfId="0" applyNumberFormat="1" applyFont="1" applyFill="1" applyBorder="1" applyAlignment="1" applyProtection="1">
      <alignment horizontal="left" vertical="center"/>
    </xf>
    <xf numFmtId="0" fontId="20" fillId="4" borderId="5" xfId="0" applyFont="1" applyFill="1" applyBorder="1" applyAlignment="1" applyProtection="1">
      <alignment horizontal="left" vertical="center"/>
    </xf>
    <xf numFmtId="0" fontId="20" fillId="4" borderId="6" xfId="0" applyFont="1" applyFill="1" applyBorder="1" applyAlignment="1" applyProtection="1">
      <alignment horizontal="left" vertical="center"/>
    </xf>
    <xf numFmtId="0" fontId="18" fillId="4" borderId="0" xfId="0" applyFont="1" applyFill="1" applyBorder="1" applyAlignment="1" applyProtection="1">
      <alignment horizontal="left"/>
    </xf>
    <xf numFmtId="0" fontId="18" fillId="4" borderId="8" xfId="0" applyFont="1" applyFill="1" applyBorder="1" applyAlignment="1" applyProtection="1">
      <alignment horizontal="left"/>
    </xf>
    <xf numFmtId="0" fontId="17" fillId="4" borderId="1" xfId="0" applyFont="1" applyFill="1" applyBorder="1" applyAlignment="1" applyProtection="1">
      <alignment horizontal="left"/>
    </xf>
    <xf numFmtId="0" fontId="17" fillId="4" borderId="2" xfId="0" applyFont="1" applyFill="1" applyBorder="1" applyAlignment="1" applyProtection="1">
      <alignment horizontal="left"/>
    </xf>
    <xf numFmtId="14" fontId="19" fillId="4" borderId="7" xfId="0" applyNumberFormat="1" applyFont="1" applyFill="1" applyBorder="1" applyAlignment="1" applyProtection="1">
      <alignment horizontal="left" vertical="center"/>
      <protection locked="0"/>
    </xf>
    <xf numFmtId="0" fontId="19" fillId="4" borderId="0" xfId="0" applyFont="1" applyFill="1" applyBorder="1" applyAlignment="1" applyProtection="1">
      <alignment horizontal="left" vertical="center"/>
      <protection locked="0"/>
    </xf>
    <xf numFmtId="14" fontId="19" fillId="4" borderId="0" xfId="0" applyNumberFormat="1" applyFont="1" applyFill="1" applyBorder="1" applyAlignment="1" applyProtection="1">
      <alignment horizontal="left" vertical="center"/>
      <protection locked="0"/>
    </xf>
    <xf numFmtId="0" fontId="19" fillId="4" borderId="8" xfId="0" applyFont="1" applyFill="1" applyBorder="1" applyAlignment="1" applyProtection="1">
      <alignment horizontal="left" vertical="center"/>
      <protection locked="0"/>
    </xf>
    <xf numFmtId="0" fontId="18" fillId="4" borderId="7" xfId="0" applyFont="1" applyFill="1" applyBorder="1" applyAlignment="1" applyProtection="1">
      <alignment horizontal="left"/>
    </xf>
    <xf numFmtId="0" fontId="17" fillId="4" borderId="3" xfId="0" applyFont="1" applyFill="1" applyBorder="1" applyAlignment="1" applyProtection="1">
      <alignment horizontal="left"/>
    </xf>
    <xf numFmtId="0" fontId="17" fillId="4" borderId="8" xfId="0" applyFont="1" applyFill="1" applyBorder="1" applyAlignment="1" applyProtection="1">
      <alignment horizontal="left"/>
    </xf>
    <xf numFmtId="0" fontId="19" fillId="4" borderId="0" xfId="0" applyFont="1" applyFill="1" applyAlignment="1" applyProtection="1">
      <alignment horizontal="left" vertical="center"/>
      <protection locked="0"/>
    </xf>
    <xf numFmtId="0" fontId="19" fillId="4" borderId="8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left"/>
    </xf>
    <xf numFmtId="0" fontId="4" fillId="3" borderId="2" xfId="0" applyFont="1" applyFill="1" applyBorder="1" applyAlignment="1" applyProtection="1">
      <alignment horizontal="left"/>
    </xf>
    <xf numFmtId="0" fontId="4" fillId="3" borderId="3" xfId="0" applyFont="1" applyFill="1" applyBorder="1" applyAlignment="1" applyProtection="1">
      <alignment horizontal="left"/>
    </xf>
    <xf numFmtId="0" fontId="19" fillId="4" borderId="7" xfId="0" applyFont="1" applyFill="1" applyBorder="1" applyAlignment="1" applyProtection="1">
      <alignment horizontal="left" vertical="center"/>
      <protection locked="0"/>
    </xf>
    <xf numFmtId="0" fontId="19" fillId="4" borderId="5" xfId="0" applyFont="1" applyFill="1" applyBorder="1" applyAlignment="1" applyProtection="1">
      <alignment horizontal="left" vertical="center"/>
    </xf>
    <xf numFmtId="0" fontId="19" fillId="4" borderId="6" xfId="0" applyFont="1" applyFill="1" applyBorder="1" applyAlignment="1" applyProtection="1">
      <alignment horizontal="left" vertical="center"/>
    </xf>
    <xf numFmtId="0" fontId="19" fillId="4" borderId="4" xfId="0" applyFont="1" applyFill="1" applyBorder="1" applyAlignment="1" applyProtection="1">
      <alignment horizontal="left" vertical="center"/>
    </xf>
    <xf numFmtId="14" fontId="20" fillId="4" borderId="7" xfId="0" applyNumberFormat="1" applyFont="1" applyFill="1" applyBorder="1" applyAlignment="1" applyProtection="1">
      <alignment horizontal="left" vertical="center"/>
      <protection locked="0"/>
    </xf>
    <xf numFmtId="14" fontId="20" fillId="4" borderId="0" xfId="0" applyNumberFormat="1" applyFont="1" applyFill="1" applyBorder="1" applyAlignment="1" applyProtection="1">
      <alignment horizontal="left" vertical="center"/>
      <protection locked="0"/>
    </xf>
    <xf numFmtId="0" fontId="5" fillId="4" borderId="0" xfId="0" applyFont="1" applyFill="1" applyBorder="1" applyAlignment="1" applyProtection="1">
      <alignment horizontal="center"/>
    </xf>
    <xf numFmtId="0" fontId="5" fillId="4" borderId="8" xfId="0" applyFont="1" applyFill="1" applyBorder="1" applyAlignment="1" applyProtection="1">
      <alignment horizontal="center"/>
    </xf>
    <xf numFmtId="0" fontId="5" fillId="4" borderId="5" xfId="0" applyFont="1" applyFill="1" applyBorder="1" applyAlignment="1" applyProtection="1">
      <alignment horizontal="center"/>
    </xf>
    <xf numFmtId="0" fontId="5" fillId="4" borderId="6" xfId="0" applyFont="1" applyFill="1" applyBorder="1" applyAlignment="1" applyProtection="1">
      <alignment horizontal="center"/>
    </xf>
    <xf numFmtId="0" fontId="17" fillId="4" borderId="14" xfId="0" applyFont="1" applyFill="1" applyBorder="1" applyAlignment="1" applyProtection="1">
      <alignment horizontal="left"/>
    </xf>
    <xf numFmtId="0" fontId="17" fillId="4" borderId="15" xfId="0" applyFont="1" applyFill="1" applyBorder="1" applyAlignment="1" applyProtection="1">
      <alignment horizontal="left"/>
    </xf>
    <xf numFmtId="0" fontId="17" fillId="4" borderId="17" xfId="0" applyFont="1" applyFill="1" applyBorder="1" applyAlignment="1" applyProtection="1">
      <alignment horizontal="left"/>
    </xf>
    <xf numFmtId="0" fontId="19" fillId="4" borderId="0" xfId="0" applyNumberFormat="1" applyFont="1" applyFill="1" applyBorder="1" applyAlignment="1" applyProtection="1">
      <alignment horizontal="left"/>
      <protection locked="0"/>
    </xf>
    <xf numFmtId="0" fontId="19" fillId="4" borderId="17" xfId="0" applyNumberFormat="1" applyFont="1" applyFill="1" applyBorder="1" applyAlignment="1" applyProtection="1">
      <alignment horizontal="left"/>
      <protection locked="0"/>
    </xf>
    <xf numFmtId="0" fontId="19" fillId="4" borderId="12" xfId="0" applyNumberFormat="1" applyFont="1" applyFill="1" applyBorder="1" applyAlignment="1" applyProtection="1">
      <alignment horizontal="left"/>
      <protection locked="0"/>
    </xf>
    <xf numFmtId="0" fontId="19" fillId="4" borderId="19" xfId="0" applyNumberFormat="1" applyFont="1" applyFill="1" applyBorder="1" applyAlignment="1" applyProtection="1">
      <alignment horizontal="left"/>
      <protection locked="0"/>
    </xf>
    <xf numFmtId="0" fontId="19" fillId="4" borderId="0" xfId="0" applyFont="1" applyFill="1" applyBorder="1" applyAlignment="1" applyProtection="1">
      <alignment horizontal="left"/>
      <protection locked="0"/>
    </xf>
    <xf numFmtId="0" fontId="19" fillId="4" borderId="17" xfId="0" applyFont="1" applyFill="1" applyBorder="1" applyAlignment="1" applyProtection="1">
      <alignment horizontal="left"/>
      <protection locked="0"/>
    </xf>
    <xf numFmtId="0" fontId="17" fillId="8" borderId="0" xfId="0" applyFont="1" applyFill="1" applyBorder="1" applyAlignment="1" applyProtection="1">
      <alignment horizontal="left"/>
    </xf>
    <xf numFmtId="0" fontId="17" fillId="8" borderId="17" xfId="0" applyFont="1" applyFill="1" applyBorder="1" applyAlignment="1" applyProtection="1">
      <alignment horizontal="left"/>
    </xf>
    <xf numFmtId="0" fontId="19" fillId="8" borderId="12" xfId="0" applyFont="1" applyFill="1" applyBorder="1" applyAlignment="1" applyProtection="1">
      <alignment horizontal="left"/>
    </xf>
    <xf numFmtId="0" fontId="19" fillId="8" borderId="19" xfId="0" applyFont="1" applyFill="1" applyBorder="1" applyAlignment="1" applyProtection="1">
      <alignment horizontal="left"/>
    </xf>
    <xf numFmtId="0" fontId="19" fillId="8" borderId="18" xfId="0" applyFont="1" applyFill="1" applyBorder="1" applyAlignment="1" applyProtection="1">
      <alignment horizontal="left"/>
      <protection locked="0"/>
    </xf>
    <xf numFmtId="0" fontId="19" fillId="8" borderId="12" xfId="0" applyFont="1" applyFill="1" applyBorder="1" applyAlignment="1" applyProtection="1">
      <alignment horizontal="left"/>
      <protection locked="0"/>
    </xf>
    <xf numFmtId="0" fontId="19" fillId="8" borderId="16" xfId="0" applyFont="1" applyFill="1" applyBorder="1" applyAlignment="1" applyProtection="1">
      <alignment horizontal="left"/>
      <protection locked="0"/>
    </xf>
    <xf numFmtId="0" fontId="19" fillId="8" borderId="0" xfId="0" applyFont="1" applyFill="1" applyBorder="1" applyAlignment="1" applyProtection="1">
      <alignment horizontal="left"/>
      <protection locked="0"/>
    </xf>
    <xf numFmtId="0" fontId="17" fillId="8" borderId="13" xfId="0" applyFont="1" applyFill="1" applyBorder="1" applyAlignment="1" applyProtection="1">
      <alignment horizontal="left"/>
    </xf>
    <xf numFmtId="0" fontId="17" fillId="8" borderId="14" xfId="0" applyFont="1" applyFill="1" applyBorder="1" applyAlignment="1" applyProtection="1">
      <alignment horizontal="left"/>
    </xf>
    <xf numFmtId="0" fontId="17" fillId="8" borderId="15" xfId="0" applyFont="1" applyFill="1" applyBorder="1" applyAlignment="1" applyProtection="1">
      <alignment horizontal="left"/>
    </xf>
    <xf numFmtId="0" fontId="19" fillId="8" borderId="17" xfId="0" applyFont="1" applyFill="1" applyBorder="1" applyAlignment="1" applyProtection="1">
      <alignment horizontal="left"/>
      <protection locked="0"/>
    </xf>
    <xf numFmtId="0" fontId="19" fillId="8" borderId="19" xfId="0" applyFont="1" applyFill="1" applyBorder="1" applyAlignment="1" applyProtection="1">
      <alignment horizontal="left"/>
      <protection locked="0"/>
    </xf>
    <xf numFmtId="0" fontId="19" fillId="4" borderId="16" xfId="0" applyFont="1" applyFill="1" applyBorder="1" applyAlignment="1" applyProtection="1">
      <alignment horizontal="left" vertical="center"/>
      <protection locked="0"/>
    </xf>
    <xf numFmtId="0" fontId="17" fillId="4" borderId="16" xfId="0" applyFont="1" applyFill="1" applyBorder="1" applyAlignment="1" applyProtection="1">
      <alignment horizontal="left"/>
    </xf>
    <xf numFmtId="0" fontId="17" fillId="4" borderId="13" xfId="0" applyFont="1" applyFill="1" applyBorder="1" applyAlignment="1" applyProtection="1">
      <alignment horizontal="left"/>
    </xf>
    <xf numFmtId="0" fontId="19" fillId="4" borderId="18" xfId="0" applyFont="1" applyFill="1" applyBorder="1" applyAlignment="1" applyProtection="1">
      <alignment horizontal="left" vertical="center"/>
      <protection locked="0"/>
    </xf>
    <xf numFmtId="0" fontId="19" fillId="4" borderId="12" xfId="0" applyFont="1" applyFill="1" applyBorder="1" applyAlignment="1" applyProtection="1">
      <alignment horizontal="left" vertical="center"/>
      <protection locked="0"/>
    </xf>
    <xf numFmtId="0" fontId="17" fillId="8" borderId="16" xfId="0" applyFont="1" applyFill="1" applyBorder="1" applyAlignment="1" applyProtection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9DC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Biometria!A1"/><Relationship Id="rId2" Type="http://schemas.openxmlformats.org/officeDocument/2006/relationships/hyperlink" Target="#'Ficha de Desembarque'!A1"/><Relationship Id="rId1" Type="http://schemas.openxmlformats.org/officeDocument/2006/relationships/image" Target="../media/image2.png"/><Relationship Id="rId4" Type="http://schemas.openxmlformats.org/officeDocument/2006/relationships/hyperlink" Target="#'Novos cadastro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Biometria!A1"/><Relationship Id="rId2" Type="http://schemas.openxmlformats.org/officeDocument/2006/relationships/image" Target="../media/image3.png"/><Relationship Id="rId1" Type="http://schemas.openxmlformats.org/officeDocument/2006/relationships/hyperlink" Target="#'Ficha de Desembarque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Novos cadastros'!A1"/><Relationship Id="rId2" Type="http://schemas.openxmlformats.org/officeDocument/2006/relationships/hyperlink" Target="#'Ficha de Desembarque'!A1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81406</xdr:rowOff>
    </xdr:from>
    <xdr:to>
      <xdr:col>4</xdr:col>
      <xdr:colOff>23812</xdr:colOff>
      <xdr:row>7</xdr:row>
      <xdr:rowOff>109654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625" y="81406"/>
          <a:ext cx="3109645" cy="1336823"/>
        </a:xfrm>
        <a:prstGeom prst="rect">
          <a:avLst/>
        </a:prstGeom>
      </xdr:spPr>
    </xdr:pic>
    <xdr:clientData/>
  </xdr:twoCellAnchor>
  <xdr:twoCellAnchor>
    <xdr:from>
      <xdr:col>4</xdr:col>
      <xdr:colOff>141666</xdr:colOff>
      <xdr:row>4</xdr:row>
      <xdr:rowOff>90777</xdr:rowOff>
    </xdr:from>
    <xdr:to>
      <xdr:col>7</xdr:col>
      <xdr:colOff>295275</xdr:colOff>
      <xdr:row>8</xdr:row>
      <xdr:rowOff>65236</xdr:rowOff>
    </xdr:to>
    <xdr:sp macro="[0]!Aba_Ficha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 rot="10800000">
          <a:off x="3665916" y="852777"/>
          <a:ext cx="1982409" cy="736459"/>
        </a:xfrm>
        <a:prstGeom prst="round2Same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190257</xdr:colOff>
      <xdr:row>4</xdr:row>
      <xdr:rowOff>72882</xdr:rowOff>
    </xdr:from>
    <xdr:to>
      <xdr:col>7</xdr:col>
      <xdr:colOff>304801</xdr:colOff>
      <xdr:row>8</xdr:row>
      <xdr:rowOff>65239</xdr:rowOff>
    </xdr:to>
    <xdr:sp macro="[0]!Aba_Ficha" textlink="">
      <xdr:nvSpPr>
        <xdr:cNvPr id="21" name="CaixaDeText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3714507" y="834882"/>
          <a:ext cx="1943344" cy="754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Rockwell" panose="02060603020205020403" pitchFamily="18" charset="0"/>
            </a:rPr>
            <a:t>Ficha de </a:t>
          </a:r>
        </a:p>
        <a:p>
          <a:pPr algn="ctr"/>
          <a:r>
            <a:rPr lang="pt-BR" sz="1800" b="1">
              <a:solidFill>
                <a:schemeClr val="bg1"/>
              </a:solidFill>
              <a:latin typeface="Rockwell" panose="02060603020205020403" pitchFamily="18" charset="0"/>
            </a:rPr>
            <a:t>Desembarque</a:t>
          </a:r>
        </a:p>
      </xdr:txBody>
    </xdr:sp>
    <xdr:clientData/>
  </xdr:twoCellAnchor>
  <xdr:twoCellAnchor>
    <xdr:from>
      <xdr:col>4</xdr:col>
      <xdr:colOff>142876</xdr:colOff>
      <xdr:row>0</xdr:row>
      <xdr:rowOff>83654</xdr:rowOff>
    </xdr:from>
    <xdr:to>
      <xdr:col>17</xdr:col>
      <xdr:colOff>532835</xdr:colOff>
      <xdr:row>4</xdr:row>
      <xdr:rowOff>87527</xdr:rowOff>
    </xdr:to>
    <xdr:sp macro="" textlink="">
      <xdr:nvSpPr>
        <xdr:cNvPr id="3" name="Retângulo: Cantos Superiore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667126" y="83654"/>
          <a:ext cx="8248084" cy="765873"/>
        </a:xfrm>
        <a:prstGeom prst="round2Same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195518</xdr:colOff>
      <xdr:row>0</xdr:row>
      <xdr:rowOff>162304</xdr:rowOff>
    </xdr:from>
    <xdr:to>
      <xdr:col>17</xdr:col>
      <xdr:colOff>528283</xdr:colOff>
      <xdr:row>4</xdr:row>
      <xdr:rowOff>3448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4559958" y="162304"/>
          <a:ext cx="7597355" cy="5803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3600">
              <a:solidFill>
                <a:schemeClr val="accent1">
                  <a:lumMod val="50000"/>
                </a:schemeClr>
              </a:solidFill>
              <a:latin typeface="Rockwell" panose="02060603020205020403" pitchFamily="18" charset="0"/>
            </a:rPr>
            <a:t>   Planilha Eletrônica do Coletor</a:t>
          </a:r>
        </a:p>
      </xdr:txBody>
    </xdr:sp>
    <xdr:clientData/>
  </xdr:twoCellAnchor>
  <xdr:twoCellAnchor>
    <xdr:from>
      <xdr:col>11</xdr:col>
      <xdr:colOff>17759</xdr:colOff>
      <xdr:row>4</xdr:row>
      <xdr:rowOff>87841</xdr:rowOff>
    </xdr:from>
    <xdr:to>
      <xdr:col>14</xdr:col>
      <xdr:colOff>280855</xdr:colOff>
      <xdr:row>6</xdr:row>
      <xdr:rowOff>180799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7417273" y="863952"/>
          <a:ext cx="2026985" cy="481014"/>
          <a:chOff x="7042395" y="841904"/>
          <a:chExt cx="2509062" cy="469989"/>
        </a:xfrm>
      </xdr:grpSpPr>
      <xdr:sp macro="[0]!Aba_Biometria" textlink="">
        <xdr:nvSpPr>
          <xdr:cNvPr id="16" name="Retângulo: Cantos Superiores Arredondados 1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 rot="10800000">
            <a:off x="7042395" y="842852"/>
            <a:ext cx="2509062" cy="469041"/>
          </a:xfrm>
          <a:prstGeom prst="round2SameRect">
            <a:avLst/>
          </a:prstGeom>
          <a:solidFill>
            <a:schemeClr val="accent5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Aba_Biometria" textlink="">
        <xdr:nvSpPr>
          <xdr:cNvPr id="19" name="CaixaDeTexto 1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7044531" y="841904"/>
            <a:ext cx="2490391" cy="467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  <a:latin typeface="Rockwell" panose="02060603020205020403" pitchFamily="18" charset="0"/>
              </a:rPr>
              <a:t>Biometria</a:t>
            </a:r>
          </a:p>
        </xdr:txBody>
      </xdr:sp>
    </xdr:grpSp>
    <xdr:clientData/>
  </xdr:twoCellAnchor>
  <xdr:twoCellAnchor>
    <xdr:from>
      <xdr:col>14</xdr:col>
      <xdr:colOff>342900</xdr:colOff>
      <xdr:row>4</xdr:row>
      <xdr:rowOff>75911</xdr:rowOff>
    </xdr:from>
    <xdr:to>
      <xdr:col>17</xdr:col>
      <xdr:colOff>541300</xdr:colOff>
      <xdr:row>6</xdr:row>
      <xdr:rowOff>182671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506303" y="852022"/>
          <a:ext cx="2024025" cy="494816"/>
          <a:chOff x="9641663" y="815165"/>
          <a:chExt cx="2528667" cy="476387"/>
        </a:xfrm>
      </xdr:grpSpPr>
      <xdr:sp macro="[0]!Exportar_Desembarque" textlink="">
        <xdr:nvSpPr>
          <xdr:cNvPr id="20" name="Retângulo: Cantos Superiores Arredondados 1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 rot="10800000">
            <a:off x="9641663" y="826655"/>
            <a:ext cx="2528667" cy="464897"/>
          </a:xfrm>
          <a:prstGeom prst="round2SameRect">
            <a:avLst/>
          </a:prstGeom>
          <a:solidFill>
            <a:schemeClr val="accent5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Exportar_Desembarque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9646450" y="815165"/>
            <a:ext cx="2522804" cy="4689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  <a:latin typeface="Rockwell" panose="02060603020205020403" pitchFamily="18" charset="0"/>
              </a:rPr>
              <a:t>Exportar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85725</xdr:rowOff>
        </xdr:to>
        <xdr:sp macro="" textlink="">
          <xdr:nvSpPr>
            <xdr:cNvPr id="1028" name="TempComb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360659</xdr:colOff>
      <xdr:row>3</xdr:row>
      <xdr:rowOff>190499</xdr:rowOff>
    </xdr:from>
    <xdr:to>
      <xdr:col>10</xdr:col>
      <xdr:colOff>557080</xdr:colOff>
      <xdr:row>7</xdr:row>
      <xdr:rowOff>76200</xdr:rowOff>
    </xdr:to>
    <xdr:grpSp>
      <xdr:nvGrpSpPr>
        <xdr:cNvPr id="6" name="Agrupar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5326006" y="772582"/>
          <a:ext cx="2022046" cy="661812"/>
          <a:chOff x="5713709" y="761999"/>
          <a:chExt cx="2025221" cy="647701"/>
        </a:xfrm>
      </xdr:grpSpPr>
      <xdr:sp macro="[0]!Aba_NovosCadastros" textlink="">
        <xdr:nvSpPr>
          <xdr:cNvPr id="23" name="Retângulo: Cantos Superiores Arredondados 2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 rot="10800000">
            <a:off x="5713709" y="860322"/>
            <a:ext cx="2025221" cy="473002"/>
          </a:xfrm>
          <a:prstGeom prst="round2SameRect">
            <a:avLst/>
          </a:prstGeom>
          <a:solidFill>
            <a:schemeClr val="accent5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Aba_NovosCadastros" textlink="">
        <xdr:nvSpPr>
          <xdr:cNvPr id="24" name="CaixaDeTexto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5715433" y="761999"/>
            <a:ext cx="2010150" cy="6477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Rockwell" panose="02060603020205020403" pitchFamily="18" charset="0"/>
              </a:rPr>
              <a:t>Novos </a:t>
            </a:r>
          </a:p>
          <a:p>
            <a:pPr algn="ctr"/>
            <a:r>
              <a:rPr lang="pt-BR" sz="1600" b="1">
                <a:solidFill>
                  <a:schemeClr val="bg1"/>
                </a:solidFill>
                <a:latin typeface="Rockwell" panose="02060603020205020403" pitchFamily="18" charset="0"/>
              </a:rPr>
              <a:t>cadastros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0</xdr:col>
          <xdr:colOff>127000</xdr:colOff>
          <xdr:row>2</xdr:row>
          <xdr:rowOff>88900</xdr:rowOff>
        </xdr:to>
        <xdr:sp macro="" textlink="">
          <xdr:nvSpPr>
            <xdr:cNvPr id="1029" name="TempCombo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584215</xdr:colOff>
      <xdr:row>5</xdr:row>
      <xdr:rowOff>23541</xdr:rowOff>
    </xdr:from>
    <xdr:to>
      <xdr:col>8</xdr:col>
      <xdr:colOff>132707</xdr:colOff>
      <xdr:row>7</xdr:row>
      <xdr:rowOff>123264</xdr:rowOff>
    </xdr:to>
    <xdr:sp macro="[0]!Aba_Ficha" textlink="">
      <xdr:nvSpPr>
        <xdr:cNvPr id="3" name="Retângulo: Cantos Superiore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0800000">
          <a:off x="3665833" y="931217"/>
          <a:ext cx="1968962" cy="480723"/>
        </a:xfrm>
        <a:prstGeom prst="round2SameRect">
          <a:avLst/>
        </a:prstGeom>
        <a:solidFill>
          <a:schemeClr val="accent5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580871</xdr:colOff>
      <xdr:row>4</xdr:row>
      <xdr:rowOff>113612</xdr:rowOff>
    </xdr:from>
    <xdr:to>
      <xdr:col>8</xdr:col>
      <xdr:colOff>90298</xdr:colOff>
      <xdr:row>7</xdr:row>
      <xdr:rowOff>183173</xdr:rowOff>
    </xdr:to>
    <xdr:sp macro="[0]!Aba_Ficha" textlink="">
      <xdr:nvSpPr>
        <xdr:cNvPr id="4" name="CaixaDe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3676496" y="837146"/>
          <a:ext cx="1963946" cy="6465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>
              <a:solidFill>
                <a:schemeClr val="bg1"/>
              </a:solidFill>
              <a:latin typeface="Rockwell" panose="02060603020205020403" pitchFamily="18" charset="0"/>
            </a:rPr>
            <a:t>Ficha de </a:t>
          </a:r>
        </a:p>
        <a:p>
          <a:pPr algn="ctr"/>
          <a:r>
            <a:rPr lang="pt-BR" sz="1600" b="1">
              <a:solidFill>
                <a:schemeClr val="bg1"/>
              </a:solidFill>
              <a:latin typeface="Rockwell" panose="02060603020205020403" pitchFamily="18" charset="0"/>
            </a:rPr>
            <a:t>Desembarque</a:t>
          </a:r>
        </a:p>
      </xdr:txBody>
    </xdr:sp>
    <xdr:clientData/>
  </xdr:twoCellAnchor>
  <xdr:twoCellAnchor>
    <xdr:from>
      <xdr:col>0</xdr:col>
      <xdr:colOff>27477</xdr:colOff>
      <xdr:row>1</xdr:row>
      <xdr:rowOff>19845</xdr:rowOff>
    </xdr:from>
    <xdr:to>
      <xdr:col>18</xdr:col>
      <xdr:colOff>0</xdr:colOff>
      <xdr:row>7</xdr:row>
      <xdr:rowOff>187488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27477" y="163141"/>
          <a:ext cx="11200222" cy="1330874"/>
          <a:chOff x="274481" y="162957"/>
          <a:chExt cx="11507719" cy="1323853"/>
        </a:xfrm>
      </xdr:grpSpPr>
      <xdr:pic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74481" y="190863"/>
            <a:ext cx="3113753" cy="1295947"/>
          </a:xfrm>
          <a:prstGeom prst="rect">
            <a:avLst/>
          </a:prstGeom>
        </xdr:spPr>
      </xdr:pic>
      <xdr:sp macro="" textlink="">
        <xdr:nvSpPr>
          <xdr:cNvPr id="5" name="Retângulo: Cantos Superiores Arredondados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3541275" y="162957"/>
            <a:ext cx="8240925" cy="773200"/>
          </a:xfrm>
          <a:prstGeom prst="round2SameRect">
            <a:avLst/>
          </a:prstGeom>
          <a:noFill/>
          <a:ln>
            <a:solidFill>
              <a:schemeClr val="accent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3563803" y="241607"/>
            <a:ext cx="7713436" cy="6086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3600">
                <a:solidFill>
                  <a:schemeClr val="accent1">
                    <a:lumMod val="50000"/>
                  </a:schemeClr>
                </a:solidFill>
                <a:latin typeface="Rockwell" panose="02060603020205020403" pitchFamily="18" charset="0"/>
              </a:rPr>
              <a:t>   Planilha Eletrônica do Coletor</a:t>
            </a:r>
          </a:p>
        </xdr:txBody>
      </xdr:sp>
    </xdr:grpSp>
    <xdr:clientData/>
  </xdr:twoCellAnchor>
  <xdr:twoCellAnchor>
    <xdr:from>
      <xdr:col>11</xdr:col>
      <xdr:colOff>368719</xdr:colOff>
      <xdr:row>5</xdr:row>
      <xdr:rowOff>20606</xdr:rowOff>
    </xdr:from>
    <xdr:to>
      <xdr:col>14</xdr:col>
      <xdr:colOff>575013</xdr:colOff>
      <xdr:row>7</xdr:row>
      <xdr:rowOff>113564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7246949" y="939389"/>
          <a:ext cx="2027002" cy="480702"/>
          <a:chOff x="7042395" y="841904"/>
          <a:chExt cx="2509062" cy="469989"/>
        </a:xfrm>
      </xdr:grpSpPr>
      <xdr:sp macro="" textlink="">
        <xdr:nvSpPr>
          <xdr:cNvPr id="8" name="Retângulo: Cantos Superiores Arredondados 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 rot="10800000">
            <a:off x="7042395" y="842852"/>
            <a:ext cx="2509062" cy="469041"/>
          </a:xfrm>
          <a:prstGeom prst="round2SameRect">
            <a:avLst/>
          </a:prstGeom>
          <a:solidFill>
            <a:schemeClr val="accent5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7044530" y="841904"/>
            <a:ext cx="2490391" cy="467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  <a:latin typeface="Rockwell" panose="02060603020205020403" pitchFamily="18" charset="0"/>
              </a:rPr>
              <a:t>Biometria</a:t>
            </a:r>
          </a:p>
        </xdr:txBody>
      </xdr:sp>
    </xdr:grpSp>
    <xdr:clientData/>
  </xdr:twoCellAnchor>
  <xdr:twoCellAnchor>
    <xdr:from>
      <xdr:col>14</xdr:col>
      <xdr:colOff>600423</xdr:colOff>
      <xdr:row>5</xdr:row>
      <xdr:rowOff>8676</xdr:rowOff>
    </xdr:from>
    <xdr:to>
      <xdr:col>18</xdr:col>
      <xdr:colOff>45794</xdr:colOff>
      <xdr:row>7</xdr:row>
      <xdr:rowOff>115436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9299361" y="927459"/>
          <a:ext cx="1928338" cy="494504"/>
          <a:chOff x="9641663" y="815165"/>
          <a:chExt cx="2528667" cy="476387"/>
        </a:xfrm>
      </xdr:grpSpPr>
      <xdr:sp macro="[0]!Adicionar" textlink="">
        <xdr:nvSpPr>
          <xdr:cNvPr id="11" name="Retângulo: Cantos Superiores Arredondados 10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 rot="10800000">
            <a:off x="9641663" y="826655"/>
            <a:ext cx="2528667" cy="464897"/>
          </a:xfrm>
          <a:prstGeom prst="round2SameRect">
            <a:avLst/>
          </a:prstGeom>
          <a:solidFill>
            <a:schemeClr val="accent5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Adicionar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9646450" y="815165"/>
            <a:ext cx="2523878" cy="4689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  <a:latin typeface="Rockwell" panose="02060603020205020403" pitchFamily="18" charset="0"/>
              </a:rPr>
              <a:t>Exportar</a:t>
            </a:r>
          </a:p>
        </xdr:txBody>
      </xdr:sp>
    </xdr:grpSp>
    <xdr:clientData/>
  </xdr:twoCellAnchor>
  <xdr:twoCellAnchor>
    <xdr:from>
      <xdr:col>8</xdr:col>
      <xdr:colOff>135543</xdr:colOff>
      <xdr:row>4</xdr:row>
      <xdr:rowOff>56030</xdr:rowOff>
    </xdr:from>
    <xdr:to>
      <xdr:col>11</xdr:col>
      <xdr:colOff>339557</xdr:colOff>
      <xdr:row>9</xdr:row>
      <xdr:rowOff>112059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5193065" y="780942"/>
          <a:ext cx="2024722" cy="1025387"/>
          <a:chOff x="5706065" y="761999"/>
          <a:chExt cx="2032865" cy="647701"/>
        </a:xfrm>
      </xdr:grpSpPr>
      <xdr:sp macro="[0]!Aba_NovosCadastros" textlink="">
        <xdr:nvSpPr>
          <xdr:cNvPr id="14" name="Retângulo: Cantos Superiores Arredondados 1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 rot="10800000">
            <a:off x="5713709" y="860322"/>
            <a:ext cx="2025221" cy="473002"/>
          </a:xfrm>
          <a:prstGeom prst="round2SameRect">
            <a:avLst/>
          </a:prstGeom>
          <a:solidFill>
            <a:schemeClr val="accent5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Aba_NovosCadastros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5706065" y="761999"/>
            <a:ext cx="2019518" cy="6477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Rockwell" panose="02060603020205020403" pitchFamily="18" charset="0"/>
              </a:rPr>
              <a:t>Novos </a:t>
            </a:r>
          </a:p>
          <a:p>
            <a:pPr algn="ctr"/>
            <a:r>
              <a:rPr lang="pt-BR" sz="1600" b="1">
                <a:solidFill>
                  <a:schemeClr val="bg1"/>
                </a:solidFill>
                <a:latin typeface="Rockwell" panose="02060603020205020403" pitchFamily="18" charset="0"/>
              </a:rPr>
              <a:t>cadastros</a:t>
            </a:r>
          </a:p>
        </xdr:txBody>
      </xdr:sp>
    </xdr:grpSp>
    <xdr:clientData/>
  </xdr:twoCellAnchor>
  <xdr:twoCellAnchor>
    <xdr:from>
      <xdr:col>6</xdr:col>
      <xdr:colOff>190496</xdr:colOff>
      <xdr:row>32</xdr:row>
      <xdr:rowOff>168089</xdr:rowOff>
    </xdr:from>
    <xdr:to>
      <xdr:col>11</xdr:col>
      <xdr:colOff>234072</xdr:colOff>
      <xdr:row>36</xdr:row>
      <xdr:rowOff>56030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034213" y="8251695"/>
          <a:ext cx="3078089" cy="663428"/>
          <a:chOff x="4482349" y="8202707"/>
          <a:chExt cx="3069164" cy="649941"/>
        </a:xfrm>
      </xdr:grpSpPr>
      <xdr:sp macro="[0]!Adicionar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4482349" y="8202707"/>
            <a:ext cx="3069164" cy="649941"/>
          </a:xfrm>
          <a:prstGeom prst="roundRect">
            <a:avLst>
              <a:gd name="adj" fmla="val 40741"/>
            </a:avLst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Adicionar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 txBox="1"/>
        </xdr:nvSpPr>
        <xdr:spPr>
          <a:xfrm>
            <a:off x="4919382" y="8303560"/>
            <a:ext cx="2218765" cy="4482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2400" b="1">
                <a:latin typeface="Rockwell" panose="02060603020205020403" pitchFamily="18" charset="0"/>
              </a:rPr>
              <a:t>Adicionar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133350</xdr:rowOff>
        </xdr:to>
        <xdr:sp macro="" textlink="">
          <xdr:nvSpPr>
            <xdr:cNvPr id="6147" name="TempCombo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123825</xdr:colOff>
          <xdr:row>2</xdr:row>
          <xdr:rowOff>133350</xdr:rowOff>
        </xdr:to>
        <xdr:sp macro="" textlink="">
          <xdr:nvSpPr>
            <xdr:cNvPr id="6148" name="TempCombo1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64363</xdr:rowOff>
    </xdr:from>
    <xdr:to>
      <xdr:col>1</xdr:col>
      <xdr:colOff>1167867</xdr:colOff>
      <xdr:row>7</xdr:row>
      <xdr:rowOff>87477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" y="64363"/>
          <a:ext cx="3097703" cy="13316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3074" name="TempCombo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1233117</xdr:colOff>
      <xdr:row>4</xdr:row>
      <xdr:rowOff>120849</xdr:rowOff>
    </xdr:from>
    <xdr:to>
      <xdr:col>8</xdr:col>
      <xdr:colOff>487089</xdr:colOff>
      <xdr:row>8</xdr:row>
      <xdr:rowOff>84223</xdr:rowOff>
    </xdr:to>
    <xdr:sp macro="[0]!Aba_Biometria" textlink="">
      <xdr:nvSpPr>
        <xdr:cNvPr id="43" name="Retângulo: Cantos Superiores Arredondados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 rot="10800000">
          <a:off x="7489851" y="882849"/>
          <a:ext cx="1974551" cy="725374"/>
        </a:xfrm>
        <a:prstGeom prst="round2Same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450089</xdr:colOff>
      <xdr:row>0</xdr:row>
      <xdr:rowOff>98535</xdr:rowOff>
    </xdr:from>
    <xdr:to>
      <xdr:col>10</xdr:col>
      <xdr:colOff>711963</xdr:colOff>
      <xdr:row>4</xdr:row>
      <xdr:rowOff>119925</xdr:rowOff>
    </xdr:to>
    <xdr:sp macro="" textlink="">
      <xdr:nvSpPr>
        <xdr:cNvPr id="44" name="Retângulo: Cantos Superiores Arredondados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3340434" y="98535"/>
          <a:ext cx="7761443" cy="765873"/>
        </a:xfrm>
        <a:prstGeom prst="round2Same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1108867</xdr:colOff>
      <xdr:row>0</xdr:row>
      <xdr:rowOff>177185</xdr:rowOff>
    </xdr:from>
    <xdr:to>
      <xdr:col>10</xdr:col>
      <xdr:colOff>707411</xdr:colOff>
      <xdr:row>4</xdr:row>
      <xdr:rowOff>35846</xdr:rowOff>
    </xdr:to>
    <xdr:sp macro="" textlink="">
      <xdr:nvSpPr>
        <xdr:cNvPr id="45" name="CaixaDeTexto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3999212" y="177185"/>
          <a:ext cx="7098113" cy="6031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3600">
              <a:solidFill>
                <a:schemeClr val="accent1">
                  <a:lumMod val="50000"/>
                </a:schemeClr>
              </a:solidFill>
              <a:latin typeface="Rockwell" panose="02060603020205020403" pitchFamily="18" charset="0"/>
            </a:rPr>
            <a:t>   Planilha Eletrônica do Coletor</a:t>
          </a:r>
        </a:p>
      </xdr:txBody>
    </xdr:sp>
    <xdr:clientData/>
  </xdr:twoCellAnchor>
  <xdr:twoCellAnchor>
    <xdr:from>
      <xdr:col>2</xdr:col>
      <xdr:colOff>439051</xdr:colOff>
      <xdr:row>4</xdr:row>
      <xdr:rowOff>122180</xdr:rowOff>
    </xdr:from>
    <xdr:to>
      <xdr:col>3</xdr:col>
      <xdr:colOff>1189946</xdr:colOff>
      <xdr:row>7</xdr:row>
      <xdr:rowOff>36794</xdr:rowOff>
    </xdr:to>
    <xdr:sp macro="[0]!Aba_Biometria" textlink="">
      <xdr:nvSpPr>
        <xdr:cNvPr id="47" name="Retângulo: Cantos Superiores Arredondados 4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 rot="10800000">
          <a:off x="3334651" y="884180"/>
          <a:ext cx="2017720" cy="486114"/>
        </a:xfrm>
        <a:prstGeom prst="round2Same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1224019</xdr:colOff>
      <xdr:row>4</xdr:row>
      <xdr:rowOff>140248</xdr:rowOff>
    </xdr:from>
    <xdr:to>
      <xdr:col>8</xdr:col>
      <xdr:colOff>502574</xdr:colOff>
      <xdr:row>7</xdr:row>
      <xdr:rowOff>52892</xdr:rowOff>
    </xdr:to>
    <xdr:sp macro="[0]!Aba_Biometria" textlink="">
      <xdr:nvSpPr>
        <xdr:cNvPr id="48" name="CaixaDeTexto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7481944" y="902248"/>
          <a:ext cx="2002705" cy="4841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Rockwell" panose="02060603020205020403" pitchFamily="18" charset="0"/>
            </a:rPr>
            <a:t>Biometria</a:t>
          </a:r>
        </a:p>
      </xdr:txBody>
    </xdr:sp>
    <xdr:clientData/>
  </xdr:twoCellAnchor>
  <xdr:twoCellAnchor>
    <xdr:from>
      <xdr:col>8</xdr:col>
      <xdr:colOff>563622</xdr:colOff>
      <xdr:row>4</xdr:row>
      <xdr:rowOff>108309</xdr:rowOff>
    </xdr:from>
    <xdr:to>
      <xdr:col>10</xdr:col>
      <xdr:colOff>710903</xdr:colOff>
      <xdr:row>7</xdr:row>
      <xdr:rowOff>37707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GrpSpPr/>
      </xdr:nvGrpSpPr>
      <xdr:grpSpPr>
        <a:xfrm>
          <a:off x="9905113" y="877300"/>
          <a:ext cx="1554184" cy="506141"/>
          <a:chOff x="9641663" y="815165"/>
          <a:chExt cx="2528667" cy="476387"/>
        </a:xfrm>
      </xdr:grpSpPr>
      <xdr:sp macro="[0]!Exportar_Biometria" textlink="">
        <xdr:nvSpPr>
          <xdr:cNvPr id="50" name="Retângulo: Cantos Superiores Arredondados 4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/>
        </xdr:nvSpPr>
        <xdr:spPr>
          <a:xfrm rot="10800000">
            <a:off x="9641663" y="826655"/>
            <a:ext cx="2528667" cy="464897"/>
          </a:xfrm>
          <a:prstGeom prst="round2SameRect">
            <a:avLst/>
          </a:prstGeom>
          <a:solidFill>
            <a:schemeClr val="accent5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Exportar_Biometria" textlink="">
        <xdr:nvSpPr>
          <xdr:cNvPr id="51" name="CaixaDeTexto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9646450" y="815165"/>
            <a:ext cx="2522804" cy="4689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  <a:latin typeface="Rockwell" panose="02060603020205020403" pitchFamily="18" charset="0"/>
              </a:rPr>
              <a:t>Exportar</a:t>
            </a:r>
          </a:p>
        </xdr:txBody>
      </xdr:sp>
    </xdr:grpSp>
    <xdr:clientData/>
  </xdr:twoCellAnchor>
  <xdr:twoCellAnchor>
    <xdr:from>
      <xdr:col>3</xdr:col>
      <xdr:colOff>1248794</xdr:colOff>
      <xdr:row>4</xdr:row>
      <xdr:rowOff>26444</xdr:rowOff>
    </xdr:from>
    <xdr:to>
      <xdr:col>5</xdr:col>
      <xdr:colOff>1161555</xdr:colOff>
      <xdr:row>7</xdr:row>
      <xdr:rowOff>115783</xdr:rowOff>
    </xdr:to>
    <xdr:grpSp>
      <xdr:nvGrpSpPr>
        <xdr:cNvPr id="52" name="Agrupar 5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GrpSpPr/>
      </xdr:nvGrpSpPr>
      <xdr:grpSpPr>
        <a:xfrm>
          <a:off x="5679230" y="795435"/>
          <a:ext cx="1876658" cy="666082"/>
          <a:chOff x="5713709" y="761999"/>
          <a:chExt cx="2025221" cy="647701"/>
        </a:xfrm>
      </xdr:grpSpPr>
      <xdr:sp macro="[0]!Aba_NovosCadastros" textlink="">
        <xdr:nvSpPr>
          <xdr:cNvPr id="53" name="Retângulo: Cantos Superiores Arredondados 5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/>
        </xdr:nvSpPr>
        <xdr:spPr>
          <a:xfrm rot="10800000">
            <a:off x="5713709" y="860322"/>
            <a:ext cx="2025221" cy="473002"/>
          </a:xfrm>
          <a:prstGeom prst="round2SameRect">
            <a:avLst/>
          </a:prstGeom>
          <a:solidFill>
            <a:schemeClr val="accent5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Aba_NovosCadastros" textlink="">
        <xdr:nvSpPr>
          <xdr:cNvPr id="54" name="CaixaDeTexto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5715433" y="761999"/>
            <a:ext cx="2010150" cy="6477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Rockwell" panose="02060603020205020403" pitchFamily="18" charset="0"/>
              </a:rPr>
              <a:t>Novos </a:t>
            </a:r>
          </a:p>
          <a:p>
            <a:pPr algn="ctr"/>
            <a:r>
              <a:rPr lang="pt-BR" sz="1600" b="1">
                <a:solidFill>
                  <a:schemeClr val="bg1"/>
                </a:solidFill>
                <a:latin typeface="Rockwell" panose="02060603020205020403" pitchFamily="18" charset="0"/>
              </a:rPr>
              <a:t>cadastros</a:t>
            </a:r>
          </a:p>
        </xdr:txBody>
      </xdr:sp>
    </xdr:grpSp>
    <xdr:clientData/>
  </xdr:twoCellAnchor>
  <xdr:twoCellAnchor>
    <xdr:from>
      <xdr:col>2</xdr:col>
      <xdr:colOff>448694</xdr:colOff>
      <xdr:row>4</xdr:row>
      <xdr:rowOff>26444</xdr:rowOff>
    </xdr:from>
    <xdr:to>
      <xdr:col>3</xdr:col>
      <xdr:colOff>1175185</xdr:colOff>
      <xdr:row>7</xdr:row>
      <xdr:rowOff>115783</xdr:rowOff>
    </xdr:to>
    <xdr:sp macro="[0]!Aba_Ficha" textlink="">
      <xdr:nvSpPr>
        <xdr:cNvPr id="55" name="CaixaDeTexto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 txBox="1"/>
      </xdr:nvSpPr>
      <xdr:spPr>
        <a:xfrm>
          <a:off x="3344294" y="788444"/>
          <a:ext cx="1993316" cy="6608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>
              <a:solidFill>
                <a:schemeClr val="bg1"/>
              </a:solidFill>
              <a:latin typeface="Rockwell" panose="02060603020205020403" pitchFamily="18" charset="0"/>
            </a:rPr>
            <a:t>Ficha de </a:t>
          </a:r>
        </a:p>
        <a:p>
          <a:pPr algn="ctr"/>
          <a:r>
            <a:rPr lang="pt-BR" sz="1600" b="1">
              <a:solidFill>
                <a:schemeClr val="bg1"/>
              </a:solidFill>
              <a:latin typeface="Rockwell" panose="02060603020205020403" pitchFamily="18" charset="0"/>
            </a:rPr>
            <a:t>desembarque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1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88F42-CB27-4CF6-B425-40681027A5DB}">
  <sheetPr codeName="Planilha2"/>
  <dimension ref="A1:BA60"/>
  <sheetViews>
    <sheetView zoomScale="108" zoomScaleNormal="108" workbookViewId="0">
      <selection activeCell="A12" sqref="A12:I12"/>
    </sheetView>
  </sheetViews>
  <sheetFormatPr defaultColWidth="0" defaultRowHeight="0" customHeight="1" zeroHeight="1" x14ac:dyDescent="0.25"/>
  <cols>
    <col min="1" max="3" width="9.140625" style="10" customWidth="1"/>
    <col min="4" max="4" width="19.7109375" style="10" customWidth="1"/>
    <col min="5" max="12" width="9.140625" style="10" customWidth="1"/>
    <col min="13" max="13" width="8.140625" style="10" customWidth="1"/>
    <col min="14" max="18" width="9.140625" style="10" customWidth="1"/>
    <col min="19" max="19" width="9.140625" style="9" hidden="1" customWidth="1"/>
    <col min="20" max="20" width="9.140625" style="11" hidden="1" customWidth="1"/>
    <col min="21" max="21" width="12.5703125" style="11" hidden="1" customWidth="1"/>
    <col min="22" max="46" width="9.140625" style="11" hidden="1" customWidth="1"/>
    <col min="47" max="48" width="19" style="11" hidden="1" customWidth="1"/>
    <col min="49" max="49" width="24.28515625" style="11" hidden="1" customWidth="1"/>
    <col min="50" max="53" width="12.42578125" style="11" hidden="1" customWidth="1"/>
    <col min="54" max="16384" width="9.140625" style="11" hidden="1"/>
  </cols>
  <sheetData>
    <row r="1" spans="1:18" ht="15" x14ac:dyDescent="0.25"/>
    <row r="2" spans="1:18" ht="15" x14ac:dyDescent="0.25"/>
    <row r="3" spans="1:18" ht="15" x14ac:dyDescent="0.25"/>
    <row r="4" spans="1:18" ht="15" x14ac:dyDescent="0.25"/>
    <row r="5" spans="1:18" ht="15" x14ac:dyDescent="0.25"/>
    <row r="6" spans="1:18" ht="15" x14ac:dyDescent="0.25"/>
    <row r="7" spans="1:18" ht="15" x14ac:dyDescent="0.25"/>
    <row r="8" spans="1:18" ht="15" x14ac:dyDescent="0.25"/>
    <row r="9" spans="1:18" ht="15.75" thickBot="1" x14ac:dyDescent="0.3"/>
    <row r="10" spans="1:18" ht="20.25" x14ac:dyDescent="0.3">
      <c r="A10" s="12" t="s">
        <v>0</v>
      </c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4"/>
    </row>
    <row r="11" spans="1:18" ht="21" customHeight="1" x14ac:dyDescent="0.3">
      <c r="A11" s="103" t="s">
        <v>1</v>
      </c>
      <c r="B11" s="95"/>
      <c r="C11" s="95"/>
      <c r="D11" s="95"/>
      <c r="E11" s="95"/>
      <c r="F11" s="95"/>
      <c r="G11" s="95"/>
      <c r="H11" s="95"/>
      <c r="I11" s="95"/>
      <c r="J11" s="95" t="s">
        <v>2</v>
      </c>
      <c r="K11" s="95"/>
      <c r="L11" s="95"/>
      <c r="M11" s="95"/>
      <c r="N11" s="95"/>
      <c r="O11" s="95"/>
      <c r="P11" s="95"/>
      <c r="Q11" s="95"/>
      <c r="R11" s="96"/>
    </row>
    <row r="12" spans="1:18" ht="27" customHeight="1" thickBot="1" x14ac:dyDescent="0.3">
      <c r="A12" s="90"/>
      <c r="B12" s="91"/>
      <c r="C12" s="91"/>
      <c r="D12" s="91"/>
      <c r="E12" s="91"/>
      <c r="F12" s="91"/>
      <c r="G12" s="91"/>
      <c r="H12" s="91"/>
      <c r="I12" s="91"/>
      <c r="J12" s="92">
        <f ca="1">TODAY()</f>
        <v>44637</v>
      </c>
      <c r="K12" s="93"/>
      <c r="L12" s="93"/>
      <c r="M12" s="93"/>
      <c r="N12" s="93"/>
      <c r="O12" s="93"/>
      <c r="P12" s="93"/>
      <c r="Q12" s="93"/>
      <c r="R12" s="94"/>
    </row>
    <row r="13" spans="1:18" ht="15.75" thickBot="1" x14ac:dyDescent="0.3"/>
    <row r="14" spans="1:18" ht="21" thickBot="1" x14ac:dyDescent="0.35">
      <c r="A14" s="108" t="s">
        <v>3</v>
      </c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10"/>
    </row>
    <row r="15" spans="1:18" ht="20.25" x14ac:dyDescent="0.3">
      <c r="A15" s="97" t="s">
        <v>4</v>
      </c>
      <c r="B15" s="98"/>
      <c r="C15" s="98"/>
      <c r="D15" s="98"/>
      <c r="E15" s="98"/>
      <c r="F15" s="98"/>
      <c r="G15" s="98"/>
      <c r="H15" s="98"/>
      <c r="I15" s="98"/>
      <c r="J15" s="98" t="s">
        <v>9</v>
      </c>
      <c r="K15" s="98"/>
      <c r="L15" s="98"/>
      <c r="M15" s="98"/>
      <c r="N15" s="98"/>
      <c r="O15" s="98"/>
      <c r="P15" s="98"/>
      <c r="Q15" s="98"/>
      <c r="R15" s="104"/>
    </row>
    <row r="16" spans="1:18" ht="27" customHeight="1" x14ac:dyDescent="0.25">
      <c r="A16" s="99"/>
      <c r="B16" s="100"/>
      <c r="C16" s="100"/>
      <c r="D16" s="100"/>
      <c r="E16" s="100"/>
      <c r="F16" s="100"/>
      <c r="G16" s="100"/>
      <c r="H16" s="100"/>
      <c r="I16" s="100"/>
      <c r="J16" s="101"/>
      <c r="K16" s="100"/>
      <c r="L16" s="100"/>
      <c r="M16" s="100"/>
      <c r="N16" s="100"/>
      <c r="O16" s="100"/>
      <c r="P16" s="100"/>
      <c r="Q16" s="100"/>
      <c r="R16" s="102"/>
    </row>
    <row r="17" spans="1:25" ht="20.25" x14ac:dyDescent="0.3">
      <c r="A17" s="85" t="s">
        <v>6</v>
      </c>
      <c r="B17" s="86"/>
      <c r="C17" s="86"/>
      <c r="D17" s="86"/>
      <c r="E17" s="86"/>
      <c r="F17" s="86"/>
      <c r="G17" s="86"/>
      <c r="H17" s="86"/>
      <c r="I17" s="86"/>
      <c r="J17" s="86" t="s">
        <v>10</v>
      </c>
      <c r="K17" s="86"/>
      <c r="L17" s="86"/>
      <c r="M17" s="86"/>
      <c r="N17" s="86"/>
      <c r="O17" s="86"/>
      <c r="P17" s="86"/>
      <c r="Q17" s="86"/>
      <c r="R17" s="105"/>
      <c r="S17" s="15"/>
    </row>
    <row r="18" spans="1:25" ht="27" customHeight="1" x14ac:dyDescent="0.25">
      <c r="A18" s="111"/>
      <c r="B18" s="100"/>
      <c r="C18" s="100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2"/>
      <c r="S18" s="15"/>
    </row>
    <row r="19" spans="1:25" ht="20.25" x14ac:dyDescent="0.3">
      <c r="A19" s="85" t="s">
        <v>7</v>
      </c>
      <c r="B19" s="86"/>
      <c r="C19" s="86"/>
      <c r="D19" s="86"/>
      <c r="E19" s="86"/>
      <c r="F19" s="86"/>
      <c r="G19" s="86"/>
      <c r="H19" s="86"/>
      <c r="I19" s="86"/>
      <c r="J19" s="86" t="s">
        <v>11</v>
      </c>
      <c r="K19" s="86"/>
      <c r="L19" s="86"/>
      <c r="M19" s="86"/>
      <c r="N19" s="86"/>
      <c r="O19" s="86"/>
      <c r="P19" s="86"/>
      <c r="Q19" s="86"/>
      <c r="R19" s="105"/>
    </row>
    <row r="20" spans="1:25" ht="27" customHeight="1" x14ac:dyDescent="0.3">
      <c r="A20" s="111"/>
      <c r="B20" s="100"/>
      <c r="C20" s="100"/>
      <c r="D20" s="100"/>
      <c r="E20" s="100"/>
      <c r="F20" s="100"/>
      <c r="G20" s="100"/>
      <c r="H20" s="100"/>
      <c r="I20" s="100"/>
      <c r="J20" s="106"/>
      <c r="K20" s="106"/>
      <c r="L20" s="106"/>
      <c r="M20" s="106"/>
      <c r="N20" s="106"/>
      <c r="O20" s="106"/>
      <c r="P20" s="106"/>
      <c r="Q20" s="106"/>
      <c r="R20" s="106"/>
      <c r="S20" s="58"/>
      <c r="T20" s="58"/>
      <c r="U20" s="58"/>
      <c r="V20" s="58"/>
      <c r="W20" s="58"/>
      <c r="X20" s="58"/>
      <c r="Y20" s="59"/>
    </row>
    <row r="21" spans="1:25" ht="20.25" x14ac:dyDescent="0.3">
      <c r="A21" s="85" t="s">
        <v>8</v>
      </c>
      <c r="B21" s="86"/>
      <c r="C21" s="86"/>
      <c r="D21" s="86"/>
      <c r="E21" s="86"/>
      <c r="F21" s="86"/>
      <c r="G21" s="86"/>
      <c r="H21" s="86"/>
      <c r="I21" s="86"/>
      <c r="J21" s="86" t="s">
        <v>12</v>
      </c>
      <c r="K21" s="86"/>
      <c r="L21" s="86"/>
      <c r="M21" s="86"/>
      <c r="N21" s="86"/>
      <c r="O21" s="86"/>
      <c r="P21" s="86"/>
      <c r="Q21" s="86"/>
      <c r="R21" s="105"/>
    </row>
    <row r="22" spans="1:25" ht="27" customHeight="1" x14ac:dyDescent="0.25">
      <c r="A22" s="87" t="str">
        <f ca="1">IF($J$20="","",OFFSET('Banco de dados'!$AX$1,MATCH($J$20,'Banco de dados'!$AX$2:$AX$10000),1))</f>
        <v/>
      </c>
      <c r="B22" s="88"/>
      <c r="C22" s="88"/>
      <c r="D22" s="88"/>
      <c r="E22" s="88"/>
      <c r="F22" s="88"/>
      <c r="G22" s="88"/>
      <c r="H22" s="88"/>
      <c r="I22" s="88"/>
      <c r="J22" s="88" t="str">
        <f ca="1">IF($J$20="","",OFFSET('Banco de dados'!$AX$1,MATCH($J$20,'Banco de dados'!$AX$2:$AX$10000),2))</f>
        <v/>
      </c>
      <c r="K22" s="88"/>
      <c r="L22" s="88"/>
      <c r="M22" s="88"/>
      <c r="N22" s="88"/>
      <c r="O22" s="88"/>
      <c r="P22" s="88"/>
      <c r="Q22" s="88"/>
      <c r="R22" s="107"/>
    </row>
    <row r="23" spans="1:25" ht="20.25" x14ac:dyDescent="0.3">
      <c r="A23" s="85" t="s">
        <v>751</v>
      </c>
      <c r="B23" s="86"/>
      <c r="C23" s="86"/>
      <c r="D23" s="86"/>
      <c r="E23" s="86"/>
      <c r="F23" s="86"/>
      <c r="G23" s="86"/>
      <c r="H23" s="86"/>
      <c r="I23" s="86"/>
      <c r="J23" s="86" t="s">
        <v>13</v>
      </c>
      <c r="K23" s="86"/>
      <c r="L23" s="86"/>
      <c r="M23" s="86"/>
      <c r="N23" s="86"/>
      <c r="O23" s="86"/>
      <c r="P23" s="86"/>
      <c r="Q23" s="86"/>
      <c r="R23" s="105"/>
    </row>
    <row r="24" spans="1:25" ht="27" customHeight="1" thickBot="1" x14ac:dyDescent="0.3">
      <c r="A24" s="114" t="str">
        <f ca="1">IF($J$20="","",OFFSET('Banco de dados'!$AX$1,MATCH($J$20,'Banco de dados'!$AX$2:$AX$10000),4))</f>
        <v/>
      </c>
      <c r="B24" s="112"/>
      <c r="C24" s="112"/>
      <c r="D24" s="112"/>
      <c r="E24" s="112"/>
      <c r="F24" s="112"/>
      <c r="G24" s="112"/>
      <c r="H24" s="112"/>
      <c r="I24" s="112"/>
      <c r="J24" s="112" t="str">
        <f ca="1">IF($J$20="","",OFFSET('Banco de dados'!$AX$1,MATCH($J$20,'Banco de dados'!$AX$2:$AX$10000),3))</f>
        <v/>
      </c>
      <c r="K24" s="112"/>
      <c r="L24" s="112"/>
      <c r="M24" s="112"/>
      <c r="N24" s="112"/>
      <c r="O24" s="112"/>
      <c r="P24" s="112"/>
      <c r="Q24" s="112"/>
      <c r="R24" s="113"/>
    </row>
    <row r="25" spans="1:25" ht="15.75" thickBot="1" x14ac:dyDescent="0.3"/>
    <row r="26" spans="1:25" ht="21" thickBot="1" x14ac:dyDescent="0.35">
      <c r="A26" s="12" t="s">
        <v>657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7"/>
    </row>
    <row r="27" spans="1:25" ht="20.25" x14ac:dyDescent="0.3">
      <c r="A27" s="97" t="s">
        <v>658</v>
      </c>
      <c r="B27" s="98"/>
      <c r="C27" s="98"/>
      <c r="D27" s="98"/>
      <c r="E27" s="98"/>
      <c r="F27" s="98"/>
      <c r="G27" s="98"/>
      <c r="H27" s="98"/>
      <c r="I27" s="98"/>
      <c r="J27" s="98" t="s">
        <v>659</v>
      </c>
      <c r="K27" s="98"/>
      <c r="L27" s="98"/>
      <c r="M27" s="98"/>
      <c r="N27" s="98"/>
      <c r="O27" s="98"/>
      <c r="P27" s="98"/>
      <c r="Q27" s="98"/>
      <c r="R27" s="104"/>
    </row>
    <row r="28" spans="1:25" ht="27" customHeight="1" x14ac:dyDescent="0.25">
      <c r="A28" s="115"/>
      <c r="B28" s="116"/>
      <c r="C28" s="116"/>
      <c r="D28" s="116"/>
      <c r="E28" s="116"/>
      <c r="F28" s="116"/>
      <c r="G28" s="116"/>
      <c r="H28" s="116"/>
      <c r="I28" s="116"/>
      <c r="J28" s="100"/>
      <c r="K28" s="100"/>
      <c r="L28" s="100"/>
      <c r="M28" s="100"/>
      <c r="N28" s="100"/>
      <c r="O28" s="100"/>
      <c r="P28" s="100"/>
      <c r="Q28" s="100"/>
      <c r="R28" s="102"/>
    </row>
    <row r="29" spans="1:25" ht="20.25" x14ac:dyDescent="0.3">
      <c r="A29" s="85" t="s">
        <v>660</v>
      </c>
      <c r="B29" s="86"/>
      <c r="C29" s="86"/>
      <c r="D29" s="86"/>
      <c r="E29" s="86"/>
      <c r="F29" s="86"/>
      <c r="G29" s="86"/>
      <c r="H29" s="86"/>
      <c r="I29" s="86"/>
      <c r="J29" s="86" t="s">
        <v>661</v>
      </c>
      <c r="K29" s="86"/>
      <c r="L29" s="86"/>
      <c r="M29" s="86"/>
      <c r="N29" s="86"/>
      <c r="O29" s="86"/>
      <c r="P29" s="86"/>
      <c r="Q29" s="86"/>
      <c r="R29" s="105"/>
    </row>
    <row r="30" spans="1:25" ht="27" customHeight="1" x14ac:dyDescent="0.25">
      <c r="A30" s="111"/>
      <c r="B30" s="100"/>
      <c r="C30" s="100"/>
      <c r="D30" s="100"/>
      <c r="E30" s="100"/>
      <c r="F30" s="100"/>
      <c r="G30" s="100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2"/>
    </row>
    <row r="31" spans="1:25" ht="20.25" x14ac:dyDescent="0.3">
      <c r="A31" s="85" t="s">
        <v>662</v>
      </c>
      <c r="B31" s="86"/>
      <c r="C31" s="86"/>
      <c r="D31" s="86"/>
      <c r="E31" s="86"/>
      <c r="F31" s="86"/>
      <c r="G31" s="86"/>
      <c r="H31" s="86"/>
      <c r="I31" s="86"/>
      <c r="J31" s="86" t="s">
        <v>663</v>
      </c>
      <c r="K31" s="86"/>
      <c r="L31" s="86"/>
      <c r="M31" s="86"/>
      <c r="N31" s="86"/>
      <c r="O31" s="86"/>
      <c r="P31" s="86"/>
      <c r="Q31" s="86"/>
      <c r="R31" s="105"/>
    </row>
    <row r="32" spans="1:25" ht="27" customHeight="1" x14ac:dyDescent="0.25">
      <c r="A32" s="111"/>
      <c r="B32" s="100"/>
      <c r="C32" s="100"/>
      <c r="D32" s="100"/>
      <c r="E32" s="100"/>
      <c r="F32" s="100"/>
      <c r="G32" s="100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2"/>
    </row>
    <row r="33" spans="1:19" ht="20.25" x14ac:dyDescent="0.3">
      <c r="A33" s="85" t="s">
        <v>664</v>
      </c>
      <c r="B33" s="86"/>
      <c r="C33" s="86"/>
      <c r="D33" s="86"/>
      <c r="E33" s="86"/>
      <c r="F33" s="86"/>
      <c r="G33" s="86"/>
      <c r="H33" s="86"/>
      <c r="I33" s="86"/>
      <c r="J33" s="86" t="s">
        <v>737</v>
      </c>
      <c r="K33" s="86"/>
      <c r="L33" s="86"/>
      <c r="M33" s="86"/>
      <c r="N33" s="86"/>
      <c r="O33" s="86"/>
      <c r="P33" s="86"/>
      <c r="Q33" s="86"/>
      <c r="R33" s="105"/>
    </row>
    <row r="34" spans="1:19" ht="27" customHeight="1" x14ac:dyDescent="0.25">
      <c r="A34" s="111"/>
      <c r="B34" s="100"/>
      <c r="C34" s="100"/>
      <c r="D34" s="100"/>
      <c r="E34" s="100"/>
      <c r="F34" s="100"/>
      <c r="G34" s="100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2"/>
    </row>
    <row r="35" spans="1:19" ht="20.25" x14ac:dyDescent="0.3">
      <c r="A35" s="85" t="s">
        <v>665</v>
      </c>
      <c r="B35" s="86"/>
      <c r="C35" s="86"/>
      <c r="D35" s="86"/>
      <c r="E35" s="86"/>
      <c r="F35" s="86"/>
      <c r="G35" s="86"/>
      <c r="H35" s="86"/>
      <c r="I35" s="86"/>
      <c r="J35" s="117"/>
      <c r="K35" s="117"/>
      <c r="L35" s="117"/>
      <c r="M35" s="117"/>
      <c r="N35" s="117"/>
      <c r="O35" s="117"/>
      <c r="P35" s="117"/>
      <c r="Q35" s="117"/>
      <c r="R35" s="118"/>
    </row>
    <row r="36" spans="1:19" ht="27" customHeight="1" thickBot="1" x14ac:dyDescent="0.3">
      <c r="A36" s="83"/>
      <c r="B36" s="84"/>
      <c r="C36" s="84"/>
      <c r="D36" s="84"/>
      <c r="E36" s="84"/>
      <c r="F36" s="84"/>
      <c r="G36" s="84"/>
      <c r="H36" s="84"/>
      <c r="I36" s="84"/>
      <c r="J36" s="119"/>
      <c r="K36" s="119"/>
      <c r="L36" s="119"/>
      <c r="M36" s="119"/>
      <c r="N36" s="119"/>
      <c r="O36" s="119"/>
      <c r="P36" s="119"/>
      <c r="Q36" s="119"/>
      <c r="R36" s="120"/>
    </row>
    <row r="37" spans="1:19" ht="19.5" thickBot="1" x14ac:dyDescent="0.35">
      <c r="A37" s="18"/>
    </row>
    <row r="38" spans="1:19" ht="20.25" customHeight="1" x14ac:dyDescent="0.35">
      <c r="A38" s="89" t="s">
        <v>14</v>
      </c>
      <c r="B38" s="71"/>
      <c r="C38" s="71"/>
      <c r="D38" s="71"/>
      <c r="E38" s="71"/>
      <c r="F38" s="71"/>
      <c r="G38" s="71"/>
      <c r="H38" s="71"/>
      <c r="I38" s="71"/>
      <c r="J38" s="71" t="s">
        <v>15</v>
      </c>
      <c r="K38" s="71"/>
      <c r="L38" s="71"/>
      <c r="M38" s="71"/>
      <c r="N38" s="71"/>
      <c r="O38" s="71"/>
      <c r="P38" s="71"/>
      <c r="Q38" s="71"/>
      <c r="R38" s="72"/>
      <c r="S38" s="19"/>
    </row>
    <row r="39" spans="1:19" s="21" customFormat="1" ht="27" customHeight="1" x14ac:dyDescent="0.25">
      <c r="A39" s="77"/>
      <c r="B39" s="78"/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81"/>
      <c r="S39" s="20"/>
    </row>
    <row r="40" spans="1:19" s="21" customFormat="1" ht="27" customHeight="1" x14ac:dyDescent="0.25">
      <c r="A40" s="82"/>
      <c r="B40" s="75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6"/>
      <c r="S40" s="20"/>
    </row>
    <row r="41" spans="1:19" s="21" customFormat="1" ht="27" customHeight="1" x14ac:dyDescent="0.25">
      <c r="A41" s="77"/>
      <c r="B41" s="78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81"/>
      <c r="S41" s="20"/>
    </row>
    <row r="42" spans="1:19" s="21" customFormat="1" ht="27" customHeight="1" x14ac:dyDescent="0.25">
      <c r="A42" s="82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6"/>
      <c r="S42" s="20"/>
    </row>
    <row r="43" spans="1:19" s="21" customFormat="1" ht="27" customHeight="1" x14ac:dyDescent="0.25">
      <c r="A43" s="77"/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  <c r="R43" s="81"/>
      <c r="S43" s="20"/>
    </row>
    <row r="44" spans="1:19" s="21" customFormat="1" ht="27" customHeight="1" x14ac:dyDescent="0.25">
      <c r="A44" s="82"/>
      <c r="B44" s="75"/>
      <c r="C44" s="75"/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6"/>
      <c r="S44" s="20"/>
    </row>
    <row r="45" spans="1:19" s="21" customFormat="1" ht="27" customHeight="1" x14ac:dyDescent="0.25">
      <c r="A45" s="77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81"/>
      <c r="S45" s="20"/>
    </row>
    <row r="46" spans="1:19" s="21" customFormat="1" ht="27" customHeight="1" x14ac:dyDescent="0.25">
      <c r="A46" s="82"/>
      <c r="B46" s="75"/>
      <c r="C46" s="75"/>
      <c r="D46" s="75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6"/>
      <c r="S46" s="20"/>
    </row>
    <row r="47" spans="1:19" s="21" customFormat="1" ht="27" customHeight="1" x14ac:dyDescent="0.25">
      <c r="A47" s="77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81"/>
      <c r="S47" s="20"/>
    </row>
    <row r="48" spans="1:19" s="21" customFormat="1" ht="27" customHeight="1" x14ac:dyDescent="0.25">
      <c r="A48" s="82"/>
      <c r="B48" s="75"/>
      <c r="C48" s="75"/>
      <c r="D48" s="75"/>
      <c r="E48" s="75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5"/>
      <c r="Q48" s="75"/>
      <c r="R48" s="76"/>
      <c r="S48" s="20"/>
    </row>
    <row r="49" spans="1:19" s="21" customFormat="1" ht="27" customHeight="1" x14ac:dyDescent="0.25">
      <c r="A49" s="77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81"/>
      <c r="S49" s="20"/>
    </row>
    <row r="50" spans="1:19" s="21" customFormat="1" ht="27" customHeight="1" x14ac:dyDescent="0.25">
      <c r="A50" s="82"/>
      <c r="B50" s="75"/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6"/>
      <c r="S50" s="20"/>
    </row>
    <row r="51" spans="1:19" s="21" customFormat="1" ht="27" customHeight="1" x14ac:dyDescent="0.25">
      <c r="A51" s="77"/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81"/>
      <c r="S51" s="20"/>
    </row>
    <row r="52" spans="1:19" s="21" customFormat="1" ht="27" customHeight="1" x14ac:dyDescent="0.25">
      <c r="A52" s="82"/>
      <c r="B52" s="75"/>
      <c r="C52" s="75"/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6"/>
      <c r="S52" s="20"/>
    </row>
    <row r="53" spans="1:19" s="21" customFormat="1" ht="27" customHeight="1" x14ac:dyDescent="0.25">
      <c r="A53" s="77"/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81"/>
      <c r="S53" s="20"/>
    </row>
    <row r="54" spans="1:19" s="21" customFormat="1" ht="27" customHeight="1" x14ac:dyDescent="0.25">
      <c r="A54" s="82"/>
      <c r="B54" s="75"/>
      <c r="C54" s="75"/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6"/>
      <c r="S54" s="20"/>
    </row>
    <row r="55" spans="1:19" s="21" customFormat="1" ht="27" customHeight="1" x14ac:dyDescent="0.25">
      <c r="A55" s="77"/>
      <c r="B55" s="78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81"/>
      <c r="S55" s="20"/>
    </row>
    <row r="56" spans="1:19" s="21" customFormat="1" ht="27" customHeight="1" x14ac:dyDescent="0.25">
      <c r="A56" s="82"/>
      <c r="B56" s="75"/>
      <c r="C56" s="75"/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6"/>
      <c r="S56" s="20"/>
    </row>
    <row r="57" spans="1:19" s="21" customFormat="1" ht="27" customHeight="1" x14ac:dyDescent="0.25">
      <c r="A57" s="77"/>
      <c r="B57" s="78"/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81"/>
      <c r="S57" s="20"/>
    </row>
    <row r="58" spans="1:19" s="21" customFormat="1" ht="27" customHeight="1" x14ac:dyDescent="0.25">
      <c r="A58" s="82"/>
      <c r="B58" s="75"/>
      <c r="C58" s="75"/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6"/>
      <c r="S58" s="20"/>
    </row>
    <row r="59" spans="1:19" s="21" customFormat="1" ht="27" customHeight="1" thickBot="1" x14ac:dyDescent="0.3">
      <c r="A59" s="79" t="s">
        <v>615</v>
      </c>
      <c r="B59" s="80"/>
      <c r="C59" s="80"/>
      <c r="D59" s="80"/>
      <c r="E59" s="80"/>
      <c r="F59" s="80"/>
      <c r="G59" s="80"/>
      <c r="H59" s="80"/>
      <c r="I59" s="80"/>
      <c r="J59" s="73">
        <f>SUM(J39:R58)</f>
        <v>0</v>
      </c>
      <c r="K59" s="73"/>
      <c r="L59" s="73"/>
      <c r="M59" s="73"/>
      <c r="N59" s="73"/>
      <c r="O59" s="73"/>
      <c r="P59" s="73"/>
      <c r="Q59" s="73"/>
      <c r="R59" s="74"/>
      <c r="S59" s="20"/>
    </row>
    <row r="60" spans="1:19" ht="18" customHeight="1" x14ac:dyDescent="0.25"/>
  </sheetData>
  <sheetProtection algorithmName="SHA-512" hashValue="itRT0ZVigp4jg4wiRk4LOLaTok2kQfG3oQKkW+77FSXqT4hrYK9P+7eNWGvEM2/snkpT85WWLh0NuYIUW+Qkhw==" saltValue="/JihEl1HuEIFeIixnZ13tw==" spinCount="100000" sheet="1" selectLockedCells="1"/>
  <sortState xmlns:xlrd2="http://schemas.microsoft.com/office/spreadsheetml/2017/richdata2" ref="AG4:AG372">
    <sortCondition ref="AG4"/>
  </sortState>
  <mergeCells count="88">
    <mergeCell ref="A33:I33"/>
    <mergeCell ref="J27:R27"/>
    <mergeCell ref="J23:R23"/>
    <mergeCell ref="J35:R36"/>
    <mergeCell ref="J21:R21"/>
    <mergeCell ref="J33:R33"/>
    <mergeCell ref="J32:R32"/>
    <mergeCell ref="J34:R34"/>
    <mergeCell ref="A29:I29"/>
    <mergeCell ref="J29:R29"/>
    <mergeCell ref="A31:I31"/>
    <mergeCell ref="J30:R30"/>
    <mergeCell ref="A35:I35"/>
    <mergeCell ref="A34:I34"/>
    <mergeCell ref="A32:I32"/>
    <mergeCell ref="A30:I30"/>
    <mergeCell ref="J19:R19"/>
    <mergeCell ref="J20:R20"/>
    <mergeCell ref="J22:R22"/>
    <mergeCell ref="A14:R14"/>
    <mergeCell ref="J31:R31"/>
    <mergeCell ref="A17:I17"/>
    <mergeCell ref="A18:I18"/>
    <mergeCell ref="A20:I20"/>
    <mergeCell ref="A19:I19"/>
    <mergeCell ref="J18:R18"/>
    <mergeCell ref="J17:R17"/>
    <mergeCell ref="J24:R24"/>
    <mergeCell ref="A24:I24"/>
    <mergeCell ref="A28:I28"/>
    <mergeCell ref="J28:R28"/>
    <mergeCell ref="A27:I27"/>
    <mergeCell ref="A12:I12"/>
    <mergeCell ref="J12:R12"/>
    <mergeCell ref="J11:R11"/>
    <mergeCell ref="A15:I15"/>
    <mergeCell ref="A16:I16"/>
    <mergeCell ref="J16:R16"/>
    <mergeCell ref="A11:I11"/>
    <mergeCell ref="J15:R15"/>
    <mergeCell ref="A36:I36"/>
    <mergeCell ref="A21:I21"/>
    <mergeCell ref="A22:I22"/>
    <mergeCell ref="A23:I23"/>
    <mergeCell ref="A56:I56"/>
    <mergeCell ref="A51:I51"/>
    <mergeCell ref="A52:I52"/>
    <mergeCell ref="A53:I53"/>
    <mergeCell ref="A46:I46"/>
    <mergeCell ref="A47:I47"/>
    <mergeCell ref="A48:I48"/>
    <mergeCell ref="A49:I49"/>
    <mergeCell ref="A50:I50"/>
    <mergeCell ref="A38:I38"/>
    <mergeCell ref="A39:I39"/>
    <mergeCell ref="A40:I40"/>
    <mergeCell ref="A57:I57"/>
    <mergeCell ref="A58:I58"/>
    <mergeCell ref="J54:R54"/>
    <mergeCell ref="J55:R55"/>
    <mergeCell ref="J57:R57"/>
    <mergeCell ref="J58:R58"/>
    <mergeCell ref="A54:I54"/>
    <mergeCell ref="A55:I55"/>
    <mergeCell ref="A41:I41"/>
    <mergeCell ref="A42:I42"/>
    <mergeCell ref="A44:I44"/>
    <mergeCell ref="J39:R39"/>
    <mergeCell ref="J40:R40"/>
    <mergeCell ref="J42:R42"/>
    <mergeCell ref="J41:R41"/>
    <mergeCell ref="J43:R43"/>
    <mergeCell ref="J38:R38"/>
    <mergeCell ref="J59:R59"/>
    <mergeCell ref="J56:R56"/>
    <mergeCell ref="A43:I43"/>
    <mergeCell ref="A45:I45"/>
    <mergeCell ref="A59:I59"/>
    <mergeCell ref="J44:R44"/>
    <mergeCell ref="J45:R45"/>
    <mergeCell ref="J46:R46"/>
    <mergeCell ref="J47:R47"/>
    <mergeCell ref="J48:R48"/>
    <mergeCell ref="J49:R49"/>
    <mergeCell ref="J50:R50"/>
    <mergeCell ref="J51:R51"/>
    <mergeCell ref="J52:R52"/>
    <mergeCell ref="J53:R53"/>
  </mergeCells>
  <dataValidations count="10">
    <dataValidation type="textLength" allowBlank="1" showInputMessage="1" showErrorMessage="1" errorTitle="Dado inválido" error="A área de pesca deve conter pelo menos três caracteres." sqref="J32" xr:uid="{80FCDE8B-78E8-43AA-BE69-7C2311524D5A}">
      <formula1>3</formula1>
      <formula2>50</formula2>
    </dataValidation>
    <dataValidation type="decimal" operator="greaterThanOrEqual" allowBlank="1" showInputMessage="1" showErrorMessage="1" promptTitle="Profundidade" prompt="Para capturas realizadas na superfície, coloque zero. Para as demais profundidades, use número positivos." sqref="J34" xr:uid="{8AF54293-3D98-4A31-BEAF-BEBC9027D6C7}">
      <formula1>0</formula1>
    </dataValidation>
    <dataValidation type="whole" operator="greaterThan" allowBlank="1" showInputMessage="1" showErrorMessage="1" errorTitle="Dado inválido" error="O número de lances deve ser um valor inteiro e maior ou igual a um." sqref="A34:I34" xr:uid="{C223463B-3DA0-44E5-88BA-879C7666E9D2}">
      <formula1>0</formula1>
    </dataValidation>
    <dataValidation type="decimal" operator="greaterThan" allowBlank="1" showDropDown="1" showInputMessage="1" showErrorMessage="1" errorTitle="Dado inválido" error="O comprimento do petrecho deve ser maior que zero." sqref="A30:I30" xr:uid="{461BAE7A-CCE8-4482-9220-41290BD0640B}">
      <formula1>0.01</formula1>
    </dataValidation>
    <dataValidation type="whole" operator="greaterThan" allowBlank="1" showDropDown="1" showInputMessage="1" showErrorMessage="1" errorTitle="Dado inválido" error="O número de pescadores deve ser inteiro e maior ou igual a um." sqref="J30:R30" xr:uid="{3B856BF0-0828-4BAC-8638-1650B92E454C}">
      <formula1>0</formula1>
    </dataValidation>
    <dataValidation type="whole" operator="greaterThan" allowBlank="1" showDropDown="1" showInputMessage="1" showErrorMessage="1" errorTitle="Dado inválido" error="O número de petrechos deve ser inteiro e maior ou igual a um." sqref="J28:R28" xr:uid="{122C03E7-D5D3-4228-B1EC-E6B08D27AD0A}">
      <formula1>0</formula1>
    </dataValidation>
    <dataValidation type="date" allowBlank="1" showInputMessage="1" showErrorMessage="1" errorTitle="Dado inválido" error="A data de saída deve ser menor que as datas de chegada e de atualização." sqref="A16:I16" xr:uid="{38C87563-869A-475A-8882-E397E09CC96E}">
      <formula1>33604</formula1>
      <formula2>J12</formula2>
    </dataValidation>
    <dataValidation type="date" allowBlank="1" showInputMessage="1" showErrorMessage="1" errorTitle="Dado inválido" error="A data de chegada deve ser maior que a data de saída e menor que a data de atualização." sqref="J16:R16" xr:uid="{F9F2CD6A-76BF-4BF3-9870-9CE3BA7BB3EF}">
      <formula1>A16</formula1>
      <formula2>J12</formula2>
    </dataValidation>
    <dataValidation type="textLength" operator="greaterThan" allowBlank="1" showInputMessage="1" showErrorMessage="1" errorTitle="Dado inválido" error="O nome do coletor deve ter pelo menos três caracteres." sqref="A12:I12" xr:uid="{F2CAF8ED-4724-415D-B2DC-2C31A54E890F}">
      <formula1>3</formula1>
    </dataValidation>
    <dataValidation type="decimal" operator="greaterThan" allowBlank="1" showInputMessage="1" showErrorMessage="1" errorTitle="Dado inválido" error="O peso capturado deve ser maior que zero." sqref="J39:R58" xr:uid="{ED2CE27F-D803-4C62-908A-F05970C05585}">
      <formula1>0.01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9" r:id="rId4" name="TempCombo1">
          <controlPr defaultSize="0" autoLine="0" autoPict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123825</xdr:colOff>
                <xdr:row>2</xdr:row>
                <xdr:rowOff>85725</xdr:rowOff>
              </to>
            </anchor>
          </controlPr>
        </control>
      </mc:Choice>
      <mc:Fallback>
        <control shapeId="1029" r:id="rId4" name="TempCombo1"/>
      </mc:Fallback>
    </mc:AlternateContent>
    <mc:AlternateContent xmlns:mc="http://schemas.openxmlformats.org/markup-compatibility/2006">
      <mc:Choice Requires="x14">
        <control shapeId="1028" r:id="rId6" name="TempCombo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85725</xdr:rowOff>
              </to>
            </anchor>
          </controlPr>
        </control>
      </mc:Choice>
      <mc:Fallback>
        <control shapeId="1028" r:id="rId6" name="Temp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DropDown="1" showInputMessage="1" showErrorMessage="1" errorTitle="Dado inválido" error="Este ponto de desembarque não está cadastrado." xr:uid="{55049EA5-DDC6-41A9-8CB7-53E3DFBA57B0}">
          <x14:formula1>
            <xm:f>'Banco de dados'!$J$2:$J$5000</xm:f>
          </x14:formula1>
          <xm:sqref>A20:I20</xm:sqref>
        </x14:dataValidation>
        <x14:dataValidation type="list" allowBlank="1" showDropDown="1" showInputMessage="1" showErrorMessage="1" errorTitle="Dado inválido" error="Esta cidade não está cadastrada." xr:uid="{E6A9F685-665C-43F0-AC85-CCA3917AFDA6}">
          <x14:formula1>
            <xm:f>'Banco de dados'!$F$2:$F$500</xm:f>
          </x14:formula1>
          <xm:sqref>J18:R18</xm:sqref>
        </x14:dataValidation>
        <x14:dataValidation type="list" allowBlank="1" showDropDown="1" showInputMessage="1" showErrorMessage="1" errorTitle="Dada ausente ou inválida" xr:uid="{8CB230A3-EA72-4328-86FB-5AFD6F58B9B9}">
          <x14:formula1>
            <xm:f>'Banco de dados'!$AE$2:$AE$200</xm:f>
          </x14:formula1>
          <xm:sqref>A28:I28</xm:sqref>
        </x14:dataValidation>
        <x14:dataValidation type="list" operator="greaterThan" allowBlank="1" showDropDown="1" showInputMessage="1" showErrorMessage="1" errorTitle="Dado inválido" error="Este nome do Pesqueiro Principal não está cadastrado." xr:uid="{AC2C8924-AA0F-4A8E-9E2D-C7A0B25DE175}">
          <x14:formula1>
            <xm:f>'Banco de dados'!$AQ$2:$AQ$1000</xm:f>
          </x14:formula1>
          <xm:sqref>A32:I32</xm:sqref>
        </x14:dataValidation>
        <x14:dataValidation type="list" allowBlank="1" showInputMessage="1" showErrorMessage="1" errorTitle="Dado inválido" error="O turno deve ser madrugada (0-6h), manhã (6-12h), tarde (12-18h) e noite (18-24h)." prompt="O turno deve ser madrugada (0-6h), manhã (6-12h), tarde (12-18h) e noite (18-24h)." xr:uid="{A6063FD1-AEBC-4C7D-A963-3AA2B11394CA}">
          <x14:formula1>
            <xm:f>'Banco de dados'!$Z$2:$Z$5</xm:f>
          </x14:formula1>
          <xm:sqref>A36:I36</xm:sqref>
        </x14:dataValidation>
        <x14:dataValidation type="list" allowBlank="1" showDropDown="1" showInputMessage="1" showErrorMessage="1" errorTitle="Dado inválido" error="Esta espécie não está cadastrada." xr:uid="{FA1BB4A2-ED57-4781-9BFE-90614D8ED2C7}">
          <x14:formula1>
            <xm:f>'Banco de dados'!$AI$2:$AI$200</xm:f>
          </x14:formula1>
          <xm:sqref>A39:I58</xm:sqref>
        </x14:dataValidation>
        <x14:dataValidation type="list" allowBlank="1" showDropDown="1" showInputMessage="1" showErrorMessage="1" errorTitle="Dado inválido" error="Este estado não está cadastrado." xr:uid="{634941AB-E633-4F8C-84A4-13B98CCBC918}">
          <x14:formula1>
            <xm:f>'Banco de dados'!B2:B50</xm:f>
          </x14:formula1>
          <xm:sqref>A18:I18</xm:sqref>
        </x14:dataValidation>
        <x14:dataValidation type="list" allowBlank="1" showDropDown="1" showInputMessage="1" showErrorMessage="1" errorTitle="Dado inválido" error="Este nome da embarcação não está cadastrado." xr:uid="{8AC74908-C18A-471D-B7EF-B71BE690B75A}">
          <x14:formula1>
            <xm:f>'Banco de dados'!$AX$2:$AX$10000</xm:f>
          </x14:formula1>
          <xm:sqref>J20:R20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FD3DB-2742-484D-9294-60FE239B29C3}">
  <sheetPr codeName="Planilha8"/>
  <dimension ref="A1:U38"/>
  <sheetViews>
    <sheetView showGridLines="0" showRowColHeaders="0" tabSelected="1" zoomScale="113" zoomScaleNormal="113" workbookViewId="0">
      <selection activeCell="B14" sqref="B14:I14"/>
    </sheetView>
  </sheetViews>
  <sheetFormatPr defaultColWidth="0" defaultRowHeight="15" zeroHeight="1" x14ac:dyDescent="0.25"/>
  <cols>
    <col min="1" max="1" width="8.7109375" style="10" customWidth="1"/>
    <col min="2" max="2" width="12.5703125" style="10" bestFit="1" customWidth="1"/>
    <col min="3" max="15" width="9.140625" style="10" customWidth="1"/>
    <col min="16" max="16" width="11" style="10" customWidth="1"/>
    <col min="17" max="17" width="9.140625" style="10" customWidth="1"/>
    <col min="18" max="18" width="8.7109375" style="10" customWidth="1"/>
    <col min="19" max="19" width="9.140625" style="9" hidden="1" customWidth="1"/>
    <col min="20" max="21" width="8.5703125" style="10" hidden="1" customWidth="1"/>
    <col min="22" max="16384" width="9.140625" style="10" hidden="1"/>
  </cols>
  <sheetData>
    <row r="1" spans="1:20" ht="11.25" customHeight="1" x14ac:dyDescent="0.25">
      <c r="S1" s="10"/>
    </row>
    <row r="2" spans="1:20" x14ac:dyDescent="0.25">
      <c r="S2" s="10"/>
    </row>
    <row r="3" spans="1:20" x14ac:dyDescent="0.25">
      <c r="S3" s="10"/>
    </row>
    <row r="4" spans="1:20" x14ac:dyDescent="0.25">
      <c r="S4" s="10"/>
    </row>
    <row r="5" spans="1:20" x14ac:dyDescent="0.25">
      <c r="S5" s="10"/>
    </row>
    <row r="6" spans="1:20" x14ac:dyDescent="0.25">
      <c r="S6" s="10"/>
    </row>
    <row r="7" spans="1:20" x14ac:dyDescent="0.25">
      <c r="S7" s="10"/>
    </row>
    <row r="8" spans="1:20" x14ac:dyDescent="0.25">
      <c r="S8" s="10"/>
    </row>
    <row r="9" spans="1:20" x14ac:dyDescent="0.25">
      <c r="S9" s="10"/>
    </row>
    <row r="10" spans="1:20" ht="15.75" thickBot="1" x14ac:dyDescent="0.3">
      <c r="A10" s="9">
        <v>4</v>
      </c>
      <c r="S10" s="10"/>
    </row>
    <row r="11" spans="1:20" ht="23.25" thickBot="1" x14ac:dyDescent="0.35">
      <c r="A11" s="42" t="s">
        <v>746</v>
      </c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4"/>
      <c r="S11" s="45"/>
      <c r="T11" s="57"/>
    </row>
    <row r="12" spans="1:20" x14ac:dyDescent="0.25">
      <c r="A12" s="46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8"/>
    </row>
    <row r="13" spans="1:20" ht="21" customHeight="1" x14ac:dyDescent="0.3">
      <c r="A13" s="49"/>
      <c r="B13" s="145" t="s">
        <v>6</v>
      </c>
      <c r="C13" s="121"/>
      <c r="D13" s="121"/>
      <c r="E13" s="121"/>
      <c r="F13" s="121"/>
      <c r="G13" s="121"/>
      <c r="H13" s="121"/>
      <c r="I13" s="121"/>
      <c r="J13" s="121" t="s">
        <v>662</v>
      </c>
      <c r="K13" s="121"/>
      <c r="L13" s="121"/>
      <c r="M13" s="121"/>
      <c r="N13" s="121"/>
      <c r="O13" s="121"/>
      <c r="P13" s="121"/>
      <c r="Q13" s="122"/>
      <c r="R13" s="48"/>
    </row>
    <row r="14" spans="1:20" ht="27" customHeight="1" x14ac:dyDescent="0.3">
      <c r="A14" s="46"/>
      <c r="B14" s="143"/>
      <c r="C14" s="100"/>
      <c r="D14" s="100"/>
      <c r="E14" s="100"/>
      <c r="F14" s="100"/>
      <c r="G14" s="100"/>
      <c r="H14" s="100"/>
      <c r="I14" s="100"/>
      <c r="J14" s="128"/>
      <c r="K14" s="128"/>
      <c r="L14" s="128"/>
      <c r="M14" s="128"/>
      <c r="N14" s="128"/>
      <c r="O14" s="128"/>
      <c r="P14" s="128"/>
      <c r="Q14" s="129"/>
      <c r="R14" s="48"/>
    </row>
    <row r="15" spans="1:20" ht="21" customHeight="1" x14ac:dyDescent="0.3">
      <c r="A15" s="46"/>
      <c r="B15" s="144" t="s">
        <v>10</v>
      </c>
      <c r="C15" s="86"/>
      <c r="D15" s="86"/>
      <c r="E15" s="86"/>
      <c r="F15" s="86"/>
      <c r="G15" s="86"/>
      <c r="H15" s="86"/>
      <c r="I15" s="86"/>
      <c r="J15" s="86" t="s">
        <v>748</v>
      </c>
      <c r="K15" s="86"/>
      <c r="L15" s="86"/>
      <c r="M15" s="86"/>
      <c r="N15" s="86"/>
      <c r="O15" s="86"/>
      <c r="P15" s="86"/>
      <c r="Q15" s="123"/>
      <c r="R15" s="48"/>
    </row>
    <row r="16" spans="1:20" ht="27" customHeight="1" x14ac:dyDescent="0.3">
      <c r="A16" s="46"/>
      <c r="B16" s="143"/>
      <c r="C16" s="100"/>
      <c r="D16" s="100"/>
      <c r="E16" s="100"/>
      <c r="F16" s="100"/>
      <c r="G16" s="100"/>
      <c r="H16" s="100"/>
      <c r="I16" s="100"/>
      <c r="J16" s="124"/>
      <c r="K16" s="124"/>
      <c r="L16" s="124"/>
      <c r="M16" s="124"/>
      <c r="N16" s="124"/>
      <c r="O16" s="124"/>
      <c r="P16" s="124"/>
      <c r="Q16" s="125"/>
      <c r="R16" s="48"/>
    </row>
    <row r="17" spans="1:18" ht="21" customHeight="1" x14ac:dyDescent="0.3">
      <c r="A17" s="46"/>
      <c r="B17" s="144" t="s">
        <v>7</v>
      </c>
      <c r="C17" s="86"/>
      <c r="D17" s="86"/>
      <c r="E17" s="86"/>
      <c r="F17" s="86"/>
      <c r="G17" s="86"/>
      <c r="H17" s="86"/>
      <c r="I17" s="86"/>
      <c r="J17" s="86" t="s">
        <v>749</v>
      </c>
      <c r="K17" s="86"/>
      <c r="L17" s="86"/>
      <c r="M17" s="86"/>
      <c r="N17" s="86"/>
      <c r="O17" s="86"/>
      <c r="P17" s="86"/>
      <c r="Q17" s="123"/>
      <c r="R17" s="48"/>
    </row>
    <row r="18" spans="1:18" ht="27" customHeight="1" x14ac:dyDescent="0.3">
      <c r="A18" s="46"/>
      <c r="B18" s="146"/>
      <c r="C18" s="147"/>
      <c r="D18" s="147"/>
      <c r="E18" s="147"/>
      <c r="F18" s="147"/>
      <c r="G18" s="147"/>
      <c r="H18" s="147"/>
      <c r="I18" s="147"/>
      <c r="J18" s="126"/>
      <c r="K18" s="126"/>
      <c r="L18" s="126"/>
      <c r="M18" s="126"/>
      <c r="N18" s="126"/>
      <c r="O18" s="126"/>
      <c r="P18" s="126"/>
      <c r="Q18" s="127"/>
      <c r="R18" s="48"/>
    </row>
    <row r="19" spans="1:18" ht="15" customHeight="1" x14ac:dyDescent="0.25">
      <c r="A19" s="46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8"/>
    </row>
    <row r="20" spans="1:18" ht="15" customHeight="1" x14ac:dyDescent="0.25">
      <c r="A20" s="46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8"/>
    </row>
    <row r="21" spans="1:18" ht="21" customHeight="1" x14ac:dyDescent="0.3">
      <c r="A21" s="50"/>
      <c r="B21" s="138" t="s">
        <v>11</v>
      </c>
      <c r="C21" s="139"/>
      <c r="D21" s="139"/>
      <c r="E21" s="139"/>
      <c r="F21" s="139"/>
      <c r="G21" s="139"/>
      <c r="H21" s="139"/>
      <c r="I21" s="139"/>
      <c r="J21" s="139" t="s">
        <v>747</v>
      </c>
      <c r="K21" s="139"/>
      <c r="L21" s="139"/>
      <c r="M21" s="139"/>
      <c r="N21" s="139"/>
      <c r="O21" s="139"/>
      <c r="P21" s="139"/>
      <c r="Q21" s="140"/>
      <c r="R21" s="52"/>
    </row>
    <row r="22" spans="1:18" ht="27" customHeight="1" x14ac:dyDescent="0.3">
      <c r="A22" s="50"/>
      <c r="B22" s="136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41"/>
      <c r="R22" s="52"/>
    </row>
    <row r="23" spans="1:18" ht="21" customHeight="1" x14ac:dyDescent="0.3">
      <c r="A23" s="50"/>
      <c r="B23" s="148" t="s">
        <v>750</v>
      </c>
      <c r="C23" s="130"/>
      <c r="D23" s="130"/>
      <c r="E23" s="130"/>
      <c r="F23" s="130"/>
      <c r="G23" s="130"/>
      <c r="H23" s="130"/>
      <c r="I23" s="130"/>
      <c r="J23" s="130" t="s">
        <v>751</v>
      </c>
      <c r="K23" s="130"/>
      <c r="L23" s="130"/>
      <c r="M23" s="130"/>
      <c r="N23" s="130"/>
      <c r="O23" s="130"/>
      <c r="P23" s="130"/>
      <c r="Q23" s="131"/>
      <c r="R23" s="52"/>
    </row>
    <row r="24" spans="1:18" ht="27" customHeight="1" x14ac:dyDescent="0.3">
      <c r="A24" s="50"/>
      <c r="B24" s="136"/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41"/>
      <c r="R24" s="52"/>
    </row>
    <row r="25" spans="1:18" ht="21" customHeight="1" x14ac:dyDescent="0.3">
      <c r="A25" s="50"/>
      <c r="B25" s="148" t="s">
        <v>13</v>
      </c>
      <c r="C25" s="130"/>
      <c r="D25" s="130"/>
      <c r="E25" s="130"/>
      <c r="F25" s="130"/>
      <c r="G25" s="130"/>
      <c r="H25" s="130"/>
      <c r="I25" s="130"/>
      <c r="J25" s="130"/>
      <c r="K25" s="130"/>
      <c r="L25" s="130"/>
      <c r="M25" s="130"/>
      <c r="N25" s="130"/>
      <c r="O25" s="130"/>
      <c r="P25" s="130"/>
      <c r="Q25" s="131"/>
      <c r="R25" s="52"/>
    </row>
    <row r="26" spans="1:18" ht="27" customHeight="1" x14ac:dyDescent="0.3">
      <c r="A26" s="50"/>
      <c r="B26" s="134"/>
      <c r="C26" s="135"/>
      <c r="D26" s="135"/>
      <c r="E26" s="135"/>
      <c r="F26" s="135"/>
      <c r="G26" s="135"/>
      <c r="H26" s="135"/>
      <c r="I26" s="135"/>
      <c r="J26" s="132"/>
      <c r="K26" s="132"/>
      <c r="L26" s="132"/>
      <c r="M26" s="132"/>
      <c r="N26" s="132"/>
      <c r="O26" s="132"/>
      <c r="P26" s="132"/>
      <c r="Q26" s="133"/>
      <c r="R26" s="52"/>
    </row>
    <row r="27" spans="1:18" ht="15" customHeight="1" x14ac:dyDescent="0.3">
      <c r="A27" s="50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2"/>
    </row>
    <row r="28" spans="1:18" ht="15" customHeight="1" x14ac:dyDescent="0.3">
      <c r="A28" s="50"/>
      <c r="B28" s="53"/>
      <c r="C28" s="53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2"/>
    </row>
    <row r="29" spans="1:18" ht="21" customHeight="1" x14ac:dyDescent="0.3">
      <c r="A29" s="50"/>
      <c r="B29" s="138" t="s">
        <v>752</v>
      </c>
      <c r="C29" s="139"/>
      <c r="D29" s="139"/>
      <c r="E29" s="139"/>
      <c r="F29" s="139"/>
      <c r="G29" s="139"/>
      <c r="H29" s="139"/>
      <c r="I29" s="139"/>
      <c r="J29" s="139" t="s">
        <v>753</v>
      </c>
      <c r="K29" s="139"/>
      <c r="L29" s="139"/>
      <c r="M29" s="139"/>
      <c r="N29" s="139"/>
      <c r="O29" s="139"/>
      <c r="P29" s="139"/>
      <c r="Q29" s="140"/>
      <c r="R29" s="52"/>
    </row>
    <row r="30" spans="1:18" ht="27" customHeight="1" x14ac:dyDescent="0.3">
      <c r="A30" s="50"/>
      <c r="B30" s="136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41"/>
      <c r="R30" s="52"/>
    </row>
    <row r="31" spans="1:18" ht="21" customHeight="1" x14ac:dyDescent="0.3">
      <c r="A31" s="50"/>
      <c r="B31" s="148" t="s">
        <v>754</v>
      </c>
      <c r="C31" s="130"/>
      <c r="D31" s="130"/>
      <c r="E31" s="130"/>
      <c r="F31" s="130"/>
      <c r="G31" s="130"/>
      <c r="H31" s="130"/>
      <c r="I31" s="130"/>
      <c r="J31" s="130" t="s">
        <v>755</v>
      </c>
      <c r="K31" s="130"/>
      <c r="L31" s="130"/>
      <c r="M31" s="130"/>
      <c r="N31" s="130"/>
      <c r="O31" s="130"/>
      <c r="P31" s="130"/>
      <c r="Q31" s="131"/>
      <c r="R31" s="52"/>
    </row>
    <row r="32" spans="1:18" ht="27" customHeight="1" x14ac:dyDescent="0.3">
      <c r="A32" s="50"/>
      <c r="B32" s="134"/>
      <c r="C32" s="135"/>
      <c r="D32" s="135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42"/>
      <c r="R32" s="52"/>
    </row>
    <row r="33" spans="1:18" ht="15" customHeight="1" x14ac:dyDescent="0.3">
      <c r="A33" s="50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2"/>
    </row>
    <row r="34" spans="1:18" x14ac:dyDescent="0.25">
      <c r="A34" s="50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2"/>
    </row>
    <row r="35" spans="1:18" x14ac:dyDescent="0.25">
      <c r="A35" s="50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2"/>
    </row>
    <row r="36" spans="1:18" x14ac:dyDescent="0.25">
      <c r="A36" s="50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2"/>
    </row>
    <row r="37" spans="1:18" ht="15.75" thickBot="1" x14ac:dyDescent="0.3">
      <c r="A37" s="54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6"/>
    </row>
    <row r="38" spans="1:18" x14ac:dyDescent="0.25"/>
  </sheetData>
  <sheetProtection algorithmName="SHA-512" hashValue="lwcnTkAsxAjJo4vAftnhibzWtvsxCmioelsUJrH7z6NOB2whnaSIr+hc9NuPra9Zct7D54HeXRs7eBMNO2PuqQ==" saltValue="D4Xo2KcshVjgkswZ2N7R5g==" spinCount="100000" sheet="1" selectLockedCells="1"/>
  <mergeCells count="32">
    <mergeCell ref="B32:I32"/>
    <mergeCell ref="J32:Q32"/>
    <mergeCell ref="B14:I14"/>
    <mergeCell ref="B15:I15"/>
    <mergeCell ref="B13:I13"/>
    <mergeCell ref="B18:I18"/>
    <mergeCell ref="B17:I17"/>
    <mergeCell ref="B16:I16"/>
    <mergeCell ref="B29:I29"/>
    <mergeCell ref="J29:Q29"/>
    <mergeCell ref="J31:Q31"/>
    <mergeCell ref="B31:I31"/>
    <mergeCell ref="B30:I30"/>
    <mergeCell ref="J30:Q30"/>
    <mergeCell ref="B25:I25"/>
    <mergeCell ref="B23:I23"/>
    <mergeCell ref="J25:Q25"/>
    <mergeCell ref="J26:Q26"/>
    <mergeCell ref="B26:I26"/>
    <mergeCell ref="B24:I24"/>
    <mergeCell ref="B21:I21"/>
    <mergeCell ref="B22:I22"/>
    <mergeCell ref="J21:Q21"/>
    <mergeCell ref="J23:Q23"/>
    <mergeCell ref="J22:Q22"/>
    <mergeCell ref="J24:Q24"/>
    <mergeCell ref="J13:Q13"/>
    <mergeCell ref="J15:Q15"/>
    <mergeCell ref="J16:Q16"/>
    <mergeCell ref="J18:Q18"/>
    <mergeCell ref="J14:Q14"/>
    <mergeCell ref="J17:Q17"/>
  </mergeCells>
  <dataValidations count="10">
    <dataValidation type="decimal" allowBlank="1" showInputMessage="1" showErrorMessage="1" errorTitle="Dado inválido" error="A latitude deve estar entre -90 e 90, sem caracteres especiais (ex. lat -8.063165 e long -34.871116)" sqref="J16:Q16" xr:uid="{F1A2745B-1ECA-4254-8243-E0AF27DA984E}">
      <formula1>-90.0001</formula1>
      <formula2>90.0001</formula2>
    </dataValidation>
    <dataValidation type="decimal" allowBlank="1" showInputMessage="1" showErrorMessage="1" errorTitle="Dado inválido" error="A longitude deve estar entre -180 e 180, sem caracteres especiais (ex. lat -8.063165 e long -34.871116)." sqref="J18:Q18" xr:uid="{8BB65C38-C6A8-4D6C-94F7-A87D6D02370D}">
      <formula1>-180.0001</formula1>
      <formula2>180.0001</formula2>
    </dataValidation>
    <dataValidation type="decimal" operator="greaterThan" allowBlank="1" showInputMessage="1" showErrorMessage="1" errorTitle="Dado inválido" error="O comprimento da embarcação deve ser maior que zero." sqref="J24:Q24" xr:uid="{A0133C44-B2F4-4C09-AFE0-77A862A52C71}">
      <formula1>0.01</formula1>
    </dataValidation>
    <dataValidation type="textLength" operator="greaterThan" allowBlank="1" showInputMessage="1" showErrorMessage="1" errorTitle="Dado inválido" error="A arte de pesca deve ter três ou mais caracteres." sqref="J26:Q26" xr:uid="{E88B623B-E4FE-452A-8441-BB96C100DB45}">
      <formula1>3</formula1>
    </dataValidation>
    <dataValidation type="textLength" operator="greaterThan" allowBlank="1" showInputMessage="1" showErrorMessage="1" errorTitle="Dado inválido" error="Esta informação deve ter três ou mais caracteres." sqref="B30:Q30 B32:Q32" xr:uid="{FA7B33AD-8AA8-4D9E-8DB6-0670B89D225B}">
      <formula1>3</formula1>
    </dataValidation>
    <dataValidation type="textLength" operator="greaterThan" allowBlank="1" showInputMessage="1" showErrorMessage="1" errorTitle="Dado inválido" error="O estado deve ter mais caracteres." sqref="B14:I14" xr:uid="{6982DB48-EBD9-4E1B-A76C-6C07111E47C8}">
      <formula1>A10</formula1>
    </dataValidation>
    <dataValidation type="textLength" operator="greaterThan" allowBlank="1" showInputMessage="1" showErrorMessage="1" errorTitle="Dado inválido" error="A cidade deve ter mais caracteres." sqref="B16:I16" xr:uid="{368D23CD-13E7-419F-B623-41B16CB0E32D}">
      <formula1>A10</formula1>
    </dataValidation>
    <dataValidation type="textLength" operator="greaterThan" allowBlank="1" showInputMessage="1" showErrorMessage="1" errorTitle="Dado ausente" error="O ponto de desembarque deve ter mais caracteres." sqref="B18:I18" xr:uid="{3368FADF-3E0C-47F3-891D-3AE67C43A6C8}">
      <formula1>A10</formula1>
    </dataValidation>
    <dataValidation type="textLength" operator="greaterThan" allowBlank="1" showInputMessage="1" showErrorMessage="1" errorTitle="Dado ausente" error="O pesqueiro principal deve ter mais caracteres." sqref="J14:Q14" xr:uid="{0971CB40-D1B8-45A5-8914-9AB7B75DFA65}">
      <formula1>A10</formula1>
    </dataValidation>
    <dataValidation type="textLength" operator="greaterThan" allowBlank="1" showInputMessage="1" showErrorMessage="1" errorTitle="Dado inválido" error="O nome da embarcação deve ter mais caracteres." sqref="B22:I22" xr:uid="{2D2AA7A6-073E-42CF-A95F-BDB86DDDD316}">
      <formula1>A10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8" r:id="rId4" name="TempCombo1">
          <controlPr defaultSize="0" autoLine="0" autoPict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123825</xdr:colOff>
                <xdr:row>2</xdr:row>
                <xdr:rowOff>133350</xdr:rowOff>
              </to>
            </anchor>
          </controlPr>
        </control>
      </mc:Choice>
      <mc:Fallback>
        <control shapeId="6148" r:id="rId4" name="TempCombo1"/>
      </mc:Fallback>
    </mc:AlternateContent>
    <mc:AlternateContent xmlns:mc="http://schemas.openxmlformats.org/markup-compatibility/2006">
      <mc:Choice Requires="x14">
        <control shapeId="6147" r:id="rId6" name="TempCombo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133350</xdr:rowOff>
              </to>
            </anchor>
          </controlPr>
        </control>
      </mc:Choice>
      <mc:Fallback>
        <control shapeId="6147" r:id="rId6" name="Temp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operator="greaterThan" allowBlank="1" showDropDown="1" showInputMessage="1" showErrorMessage="1" errorTitle="Dado inválido" error="O tipo de embarcação inválido." xr:uid="{CB6347D8-AA72-4213-B997-496707D34D64}">
          <x14:formula1>
            <xm:f>'Banco de dados'!$N$2:$N$100</xm:f>
          </x14:formula1>
          <xm:sqref>J22:Q22</xm:sqref>
        </x14:dataValidation>
        <x14:dataValidation type="list" operator="greaterThan" allowBlank="1" showDropDown="1" showInputMessage="1" showErrorMessage="1" errorTitle="Dado inválido" error="Sistema de propulsão inválido." xr:uid="{A5186F26-DCC3-4E70-8FBF-13E92A311797}">
          <x14:formula1>
            <xm:f>'Banco de dados'!$V$2:$V$4</xm:f>
          </x14:formula1>
          <xm:sqref>B26:I26</xm:sqref>
        </x14:dataValidation>
        <x14:dataValidation type="list" operator="greaterThan" allowBlank="1" showDropDown="1" showInputMessage="1" showErrorMessage="1" errorTitle="Dado inválido" error="O tipo do casco inválido." xr:uid="{F63E2797-2C5C-4935-9539-27EE1E409580}">
          <x14:formula1>
            <xm:f>'Banco de dados'!$R$2:$R$4</xm:f>
          </x14:formula1>
          <xm:sqref>B24:I24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2B8B1-5786-4348-9B29-EFE8EE2B5CF7}">
  <sheetPr codeName="Planilha3"/>
  <dimension ref="A1:AC1500"/>
  <sheetViews>
    <sheetView showGridLines="0" showRowColHeaders="0" zoomScale="109" zoomScaleNormal="109" workbookViewId="0">
      <selection activeCell="B12" sqref="B12"/>
    </sheetView>
  </sheetViews>
  <sheetFormatPr defaultColWidth="0" defaultRowHeight="15" zeroHeight="1" x14ac:dyDescent="0.25"/>
  <cols>
    <col min="1" max="1" width="29.42578125" style="1" bestFit="1" customWidth="1"/>
    <col min="2" max="2" width="18" style="1" customWidth="1"/>
    <col min="3" max="4" width="19" style="1" bestFit="1" customWidth="1"/>
    <col min="5" max="5" width="12.42578125" style="1" customWidth="1"/>
    <col min="6" max="6" width="15.42578125" style="1" bestFit="1" customWidth="1"/>
    <col min="7" max="7" width="8.85546875" style="1" customWidth="1"/>
    <col min="8" max="8" width="17.85546875" style="1" customWidth="1"/>
    <col min="9" max="9" width="10" style="1" bestFit="1" customWidth="1"/>
    <col min="10" max="10" width="11.140625" style="1" bestFit="1" customWidth="1"/>
    <col min="11" max="11" width="13.85546875" style="1" bestFit="1" customWidth="1"/>
    <col min="12" max="29" width="0" style="1" hidden="1" customWidth="1"/>
    <col min="30" max="16384" width="20.7109375" style="1" hidden="1"/>
  </cols>
  <sheetData>
    <row r="1" spans="1:29" s="9" customFormat="1" x14ac:dyDescent="0.25">
      <c r="L1" s="9">
        <f>COUNTA(A12:A15)</f>
        <v>4</v>
      </c>
      <c r="S1" s="9" t="s">
        <v>497</v>
      </c>
      <c r="T1" s="9" t="s">
        <v>498</v>
      </c>
      <c r="V1" s="9" t="s">
        <v>626</v>
      </c>
      <c r="W1" s="9" t="s">
        <v>621</v>
      </c>
      <c r="Y1" s="9" t="s">
        <v>627</v>
      </c>
      <c r="Z1" s="9" t="s">
        <v>628</v>
      </c>
      <c r="AB1" s="9" t="s">
        <v>629</v>
      </c>
      <c r="AC1" s="9" t="s">
        <v>630</v>
      </c>
    </row>
    <row r="2" spans="1:29" s="9" customFormat="1" x14ac:dyDescent="0.25">
      <c r="S2" s="9">
        <v>1</v>
      </c>
      <c r="T2" s="9" t="s">
        <v>499</v>
      </c>
      <c r="V2" s="9">
        <v>1</v>
      </c>
      <c r="W2" s="9" t="s">
        <v>631</v>
      </c>
      <c r="Y2" s="9">
        <v>1</v>
      </c>
      <c r="Z2" s="9" t="s">
        <v>632</v>
      </c>
      <c r="AB2" s="9">
        <v>1</v>
      </c>
      <c r="AC2" s="9" t="s">
        <v>633</v>
      </c>
    </row>
    <row r="3" spans="1:29" s="9" customFormat="1" x14ac:dyDescent="0.25">
      <c r="S3" s="9">
        <v>2</v>
      </c>
      <c r="T3" s="9" t="s">
        <v>500</v>
      </c>
      <c r="V3" s="9">
        <v>2</v>
      </c>
      <c r="W3" s="9" t="s">
        <v>634</v>
      </c>
      <c r="Y3" s="9">
        <v>2</v>
      </c>
      <c r="Z3" s="9" t="s">
        <v>635</v>
      </c>
      <c r="AB3" s="9">
        <v>2</v>
      </c>
      <c r="AC3" s="9" t="s">
        <v>636</v>
      </c>
    </row>
    <row r="4" spans="1:29" s="9" customFormat="1" x14ac:dyDescent="0.25">
      <c r="S4" s="9">
        <v>3</v>
      </c>
      <c r="T4" s="9" t="s">
        <v>501</v>
      </c>
      <c r="V4" s="9">
        <v>3</v>
      </c>
      <c r="W4" s="9" t="s">
        <v>637</v>
      </c>
      <c r="Y4" s="9">
        <v>3</v>
      </c>
      <c r="Z4" s="9" t="s">
        <v>638</v>
      </c>
    </row>
    <row r="5" spans="1:29" s="9" customFormat="1" x14ac:dyDescent="0.25">
      <c r="S5" s="9">
        <v>4</v>
      </c>
      <c r="T5" s="9" t="s">
        <v>502</v>
      </c>
      <c r="Y5" s="9">
        <v>4</v>
      </c>
      <c r="Z5" s="9" t="s">
        <v>639</v>
      </c>
    </row>
    <row r="6" spans="1:29" s="9" customFormat="1" x14ac:dyDescent="0.25">
      <c r="S6" s="9">
        <v>5</v>
      </c>
      <c r="T6" s="9" t="s">
        <v>503</v>
      </c>
    </row>
    <row r="7" spans="1:29" s="9" customFormat="1" x14ac:dyDescent="0.25">
      <c r="S7" s="9">
        <v>6</v>
      </c>
      <c r="T7" s="9" t="s">
        <v>504</v>
      </c>
    </row>
    <row r="8" spans="1:29" s="9" customFormat="1" x14ac:dyDescent="0.25">
      <c r="S8" s="9">
        <v>7</v>
      </c>
      <c r="T8" s="9" t="s">
        <v>505</v>
      </c>
    </row>
    <row r="9" spans="1:29" s="9" customFormat="1" ht="15.75" thickBot="1" x14ac:dyDescent="0.3">
      <c r="S9" s="9">
        <v>8</v>
      </c>
      <c r="T9" s="9" t="s">
        <v>506</v>
      </c>
    </row>
    <row r="10" spans="1:29" s="9" customFormat="1" ht="18" customHeight="1" thickBot="1" x14ac:dyDescent="0.35">
      <c r="A10" s="28" t="s">
        <v>616</v>
      </c>
      <c r="B10" s="13"/>
      <c r="C10" s="29"/>
      <c r="D10" s="29"/>
      <c r="E10" s="29"/>
      <c r="F10" s="29"/>
      <c r="G10" s="29"/>
      <c r="H10" s="29"/>
      <c r="I10" s="29"/>
      <c r="J10" s="29"/>
      <c r="K10" s="30"/>
      <c r="L10" s="31"/>
      <c r="M10" s="32"/>
      <c r="N10" s="32"/>
      <c r="O10" s="32"/>
      <c r="P10" s="32"/>
      <c r="Q10" s="32"/>
      <c r="R10" s="32"/>
      <c r="S10" s="9">
        <v>9</v>
      </c>
      <c r="T10" s="9" t="s">
        <v>507</v>
      </c>
    </row>
    <row r="11" spans="1:29" s="9" customFormat="1" ht="54.75" thickBot="1" x14ac:dyDescent="0.3">
      <c r="A11" s="64" t="s">
        <v>617</v>
      </c>
      <c r="B11" s="65" t="s">
        <v>14</v>
      </c>
      <c r="C11" s="66" t="s">
        <v>618</v>
      </c>
      <c r="D11" s="66" t="s">
        <v>619</v>
      </c>
      <c r="E11" s="66" t="s">
        <v>620</v>
      </c>
      <c r="F11" s="66" t="s">
        <v>817</v>
      </c>
      <c r="G11" s="66" t="s">
        <v>621</v>
      </c>
      <c r="H11" s="66" t="s">
        <v>622</v>
      </c>
      <c r="I11" s="66" t="s">
        <v>623</v>
      </c>
      <c r="J11" s="66" t="s">
        <v>624</v>
      </c>
      <c r="K11" s="67" t="s">
        <v>625</v>
      </c>
      <c r="L11" s="31"/>
      <c r="M11" s="32"/>
      <c r="N11" s="32"/>
      <c r="O11" s="32"/>
      <c r="P11" s="32"/>
      <c r="Q11" s="32"/>
      <c r="R11" s="32"/>
      <c r="S11" s="9">
        <v>10</v>
      </c>
      <c r="T11" s="9" t="s">
        <v>508</v>
      </c>
    </row>
    <row r="12" spans="1:29" s="9" customFormat="1" ht="18" x14ac:dyDescent="0.25">
      <c r="A12" s="33" t="str">
        <f>CONCATENATE('Ficha de desembarque'!$J$18,"_",'Ficha de desembarque'!$J$20,"_",DAY('Ficha de desembarque'!$J$16),MONTH('Ficha de desembarque'!$J$16),YEAR('Ficha de desembarque'!$J$16))</f>
        <v>__011900</v>
      </c>
      <c r="B12" s="22"/>
      <c r="C12" s="22"/>
      <c r="D12" s="22"/>
      <c r="E12" s="22"/>
      <c r="F12" s="22"/>
      <c r="G12" s="22"/>
      <c r="H12" s="22"/>
      <c r="I12" s="22"/>
      <c r="J12" s="22"/>
      <c r="K12" s="23"/>
      <c r="L12" s="34"/>
      <c r="M12" s="35"/>
      <c r="N12" s="35">
        <f t="shared" ref="N12:N75" si="0">MAX(0,D12)</f>
        <v>0</v>
      </c>
      <c r="O12" s="35">
        <f t="shared" ref="O12:O75" si="1">MAX(0,F12)</f>
        <v>0</v>
      </c>
      <c r="S12" s="9">
        <v>11</v>
      </c>
      <c r="T12" s="9" t="s">
        <v>509</v>
      </c>
    </row>
    <row r="13" spans="1:29" s="9" customFormat="1" ht="18" x14ac:dyDescent="0.25">
      <c r="A13" s="36" t="str">
        <f>IF(LEN(B12)=0,"",CONCATENATE('Ficha de desembarque'!$J$18,"_",'Ficha de desembarque'!$J$20,"_",DAY('Ficha de desembarque'!$J$16),MONTH('Ficha de desembarque'!$J$16),YEAR('Ficha de desembarque'!$J$16)))</f>
        <v/>
      </c>
      <c r="B13" s="24"/>
      <c r="C13" s="24"/>
      <c r="D13" s="24"/>
      <c r="E13" s="24"/>
      <c r="F13" s="24"/>
      <c r="G13" s="24"/>
      <c r="H13" s="24"/>
      <c r="I13" s="24"/>
      <c r="J13" s="24"/>
      <c r="K13" s="25"/>
      <c r="L13" s="34"/>
      <c r="N13" s="35"/>
      <c r="O13" s="35"/>
    </row>
    <row r="14" spans="1:29" s="9" customFormat="1" ht="20.25" x14ac:dyDescent="0.25">
      <c r="A14" s="68" t="str">
        <f>IF(LEN(B13)=0,"",CONCATENATE('Ficha de desembarque'!$J$18,"_",'Ficha de desembarque'!$J$20,"_",DAY('Ficha de desembarque'!$J$16),MONTH('Ficha de desembarque'!$J$16),YEAR('Ficha de desembarque'!$J$16)))</f>
        <v/>
      </c>
      <c r="B14" s="22"/>
      <c r="C14" s="22"/>
      <c r="D14" s="22"/>
      <c r="E14" s="22"/>
      <c r="F14" s="22"/>
      <c r="G14" s="22"/>
      <c r="H14" s="22"/>
      <c r="I14" s="22"/>
      <c r="J14" s="22"/>
      <c r="K14" s="23"/>
      <c r="L14" s="37"/>
      <c r="M14" s="38"/>
      <c r="N14" s="38"/>
      <c r="O14" s="38"/>
      <c r="P14" s="38"/>
      <c r="Q14" s="38"/>
      <c r="R14" s="38"/>
      <c r="S14" s="38"/>
      <c r="T14" s="38"/>
    </row>
    <row r="15" spans="1:29" s="9" customFormat="1" ht="18" x14ac:dyDescent="0.25">
      <c r="A15" s="69" t="str">
        <f>IF(LEN(B14)=0,"",CONCATENATE('Ficha de desembarque'!$J$18,"_",'Ficha de desembarque'!$J$20,"_",DAY('Ficha de desembarque'!$J$16),MONTH('Ficha de desembarque'!$J$16),YEAR('Ficha de desembarque'!$J$16)))</f>
        <v/>
      </c>
      <c r="B15" s="24"/>
      <c r="C15" s="24"/>
      <c r="D15" s="24"/>
      <c r="E15" s="24"/>
      <c r="F15" s="24"/>
      <c r="G15" s="24"/>
      <c r="H15" s="24"/>
      <c r="I15" s="24"/>
      <c r="J15" s="24"/>
      <c r="K15" s="25"/>
      <c r="L15" s="34"/>
      <c r="N15" s="35">
        <f t="shared" si="0"/>
        <v>0</v>
      </c>
      <c r="O15" s="35">
        <f t="shared" si="1"/>
        <v>0</v>
      </c>
      <c r="S15" s="9">
        <v>14</v>
      </c>
      <c r="T15" s="9" t="s">
        <v>248</v>
      </c>
    </row>
    <row r="16" spans="1:29" s="9" customFormat="1" ht="18" x14ac:dyDescent="0.25">
      <c r="A16" s="68" t="str">
        <f>IF(LEN(B15)=0,"",CONCATENATE('Ficha de desembarque'!$J$18,"_",'Ficha de desembarque'!$J$20,"_",DAY('Ficha de desembarque'!$J$16),MONTH('Ficha de desembarque'!$J$16),YEAR('Ficha de desembarque'!$J$16)))</f>
        <v/>
      </c>
      <c r="B16" s="22"/>
      <c r="C16" s="22"/>
      <c r="D16" s="22"/>
      <c r="E16" s="22"/>
      <c r="F16" s="22"/>
      <c r="G16" s="22"/>
      <c r="H16" s="22"/>
      <c r="I16" s="22"/>
      <c r="J16" s="22"/>
      <c r="K16" s="23"/>
      <c r="L16" s="34"/>
      <c r="N16" s="35">
        <f t="shared" si="0"/>
        <v>0</v>
      </c>
      <c r="O16" s="35">
        <f t="shared" si="1"/>
        <v>0</v>
      </c>
      <c r="S16" s="9">
        <v>15</v>
      </c>
      <c r="T16" s="9" t="s">
        <v>512</v>
      </c>
    </row>
    <row r="17" spans="1:20" s="9" customFormat="1" ht="18" x14ac:dyDescent="0.25">
      <c r="A17" s="69" t="str">
        <f>IF(LEN(B16)=0,"",CONCATENATE('Ficha de desembarque'!$J$18,"_",'Ficha de desembarque'!$J$20,"_",DAY('Ficha de desembarque'!$J$16),MONTH('Ficha de desembarque'!$J$16),YEAR('Ficha de desembarque'!$J$16)))</f>
        <v/>
      </c>
      <c r="B17" s="24"/>
      <c r="C17" s="24"/>
      <c r="D17" s="24"/>
      <c r="E17" s="24"/>
      <c r="F17" s="24"/>
      <c r="G17" s="24"/>
      <c r="H17" s="24"/>
      <c r="I17" s="24"/>
      <c r="J17" s="24"/>
      <c r="K17" s="25"/>
      <c r="L17" s="34"/>
      <c r="N17" s="35">
        <f t="shared" si="0"/>
        <v>0</v>
      </c>
      <c r="O17" s="35">
        <f t="shared" si="1"/>
        <v>0</v>
      </c>
      <c r="S17" s="9">
        <v>16</v>
      </c>
      <c r="T17" s="9" t="s">
        <v>513</v>
      </c>
    </row>
    <row r="18" spans="1:20" s="9" customFormat="1" ht="18" x14ac:dyDescent="0.25">
      <c r="A18" s="68" t="str">
        <f>IF(LEN(B17)=0,"",CONCATENATE('Ficha de desembarque'!$J$18,"_",'Ficha de desembarque'!$J$20,"_",DAY('Ficha de desembarque'!$J$16),MONTH('Ficha de desembarque'!$J$16),YEAR('Ficha de desembarque'!$J$16)))</f>
        <v/>
      </c>
      <c r="B18" s="22"/>
      <c r="C18" s="22"/>
      <c r="D18" s="22"/>
      <c r="E18" s="22"/>
      <c r="F18" s="22"/>
      <c r="G18" s="22"/>
      <c r="H18" s="22"/>
      <c r="I18" s="22"/>
      <c r="J18" s="22"/>
      <c r="K18" s="23"/>
      <c r="L18" s="34"/>
      <c r="N18" s="35">
        <f t="shared" si="0"/>
        <v>0</v>
      </c>
      <c r="O18" s="35">
        <f t="shared" si="1"/>
        <v>0</v>
      </c>
      <c r="S18" s="9">
        <v>17</v>
      </c>
      <c r="T18" s="9" t="s">
        <v>514</v>
      </c>
    </row>
    <row r="19" spans="1:20" s="9" customFormat="1" ht="18" x14ac:dyDescent="0.25">
      <c r="A19" s="69" t="str">
        <f>IF(LEN(B18)=0,"",CONCATENATE('Ficha de desembarque'!$J$18,"_",'Ficha de desembarque'!$J$20,"_",DAY('Ficha de desembarque'!$J$16),MONTH('Ficha de desembarque'!$J$16),YEAR('Ficha de desembarque'!$J$16)))</f>
        <v/>
      </c>
      <c r="B19" s="24"/>
      <c r="C19" s="24"/>
      <c r="D19" s="24"/>
      <c r="E19" s="24"/>
      <c r="F19" s="24"/>
      <c r="G19" s="24"/>
      <c r="H19" s="24"/>
      <c r="I19" s="24"/>
      <c r="J19" s="24"/>
      <c r="K19" s="25"/>
      <c r="L19" s="34"/>
      <c r="N19" s="35">
        <f t="shared" si="0"/>
        <v>0</v>
      </c>
      <c r="O19" s="35">
        <f t="shared" si="1"/>
        <v>0</v>
      </c>
      <c r="S19" s="9">
        <v>18</v>
      </c>
      <c r="T19" s="9" t="s">
        <v>515</v>
      </c>
    </row>
    <row r="20" spans="1:20" s="9" customFormat="1" ht="18" x14ac:dyDescent="0.25">
      <c r="A20" s="68" t="str">
        <f>IF(LEN(B19)=0,"",CONCATENATE('Ficha de desembarque'!$J$18,"_",'Ficha de desembarque'!$J$20,"_",DAY('Ficha de desembarque'!$J$16),MONTH('Ficha de desembarque'!$J$16),YEAR('Ficha de desembarque'!$J$16)))</f>
        <v/>
      </c>
      <c r="B20" s="22"/>
      <c r="C20" s="22"/>
      <c r="D20" s="22"/>
      <c r="E20" s="22"/>
      <c r="F20" s="22"/>
      <c r="G20" s="22"/>
      <c r="H20" s="22"/>
      <c r="I20" s="22"/>
      <c r="J20" s="22"/>
      <c r="K20" s="23"/>
      <c r="L20" s="34"/>
      <c r="N20" s="35">
        <f t="shared" si="0"/>
        <v>0</v>
      </c>
      <c r="O20" s="35">
        <f t="shared" si="1"/>
        <v>0</v>
      </c>
      <c r="S20" s="9">
        <v>19</v>
      </c>
      <c r="T20" s="9" t="s">
        <v>516</v>
      </c>
    </row>
    <row r="21" spans="1:20" s="9" customFormat="1" ht="18" x14ac:dyDescent="0.25">
      <c r="A21" s="69" t="str">
        <f>IF(LEN(B20)=0,"",CONCATENATE('Ficha de desembarque'!$J$18,"_",'Ficha de desembarque'!$J$20,"_",DAY('Ficha de desembarque'!$J$16),MONTH('Ficha de desembarque'!$J$16),YEAR('Ficha de desembarque'!$J$16)))</f>
        <v/>
      </c>
      <c r="B21" s="24"/>
      <c r="C21" s="24"/>
      <c r="D21" s="24"/>
      <c r="E21" s="24"/>
      <c r="F21" s="24"/>
      <c r="G21" s="24"/>
      <c r="H21" s="24"/>
      <c r="I21" s="24"/>
      <c r="J21" s="24"/>
      <c r="K21" s="25"/>
      <c r="L21" s="34"/>
      <c r="N21" s="35">
        <f t="shared" si="0"/>
        <v>0</v>
      </c>
      <c r="O21" s="35">
        <f t="shared" si="1"/>
        <v>0</v>
      </c>
      <c r="S21" s="9">
        <v>20</v>
      </c>
      <c r="T21" s="9" t="s">
        <v>517</v>
      </c>
    </row>
    <row r="22" spans="1:20" s="9" customFormat="1" ht="18" x14ac:dyDescent="0.25">
      <c r="A22" s="68" t="str">
        <f>IF(LEN(B21)=0,"",CONCATENATE('Ficha de desembarque'!$J$18,"_",'Ficha de desembarque'!$J$20,"_",DAY('Ficha de desembarque'!$J$16),MONTH('Ficha de desembarque'!$J$16),YEAR('Ficha de desembarque'!$J$16)))</f>
        <v/>
      </c>
      <c r="B22" s="22"/>
      <c r="C22" s="22"/>
      <c r="D22" s="22"/>
      <c r="E22" s="22"/>
      <c r="F22" s="22"/>
      <c r="G22" s="22"/>
      <c r="H22" s="22"/>
      <c r="I22" s="22"/>
      <c r="J22" s="22"/>
      <c r="K22" s="23"/>
      <c r="L22" s="34"/>
      <c r="N22" s="35">
        <f t="shared" si="0"/>
        <v>0</v>
      </c>
      <c r="O22" s="35">
        <f t="shared" si="1"/>
        <v>0</v>
      </c>
      <c r="S22" s="9">
        <v>21</v>
      </c>
      <c r="T22" s="9" t="s">
        <v>518</v>
      </c>
    </row>
    <row r="23" spans="1:20" s="9" customFormat="1" ht="18" x14ac:dyDescent="0.25">
      <c r="A23" s="69" t="str">
        <f>IF(LEN(B22)=0,"",CONCATENATE('Ficha de desembarque'!$J$18,"_",'Ficha de desembarque'!$J$20,"_",DAY('Ficha de desembarque'!$J$16),MONTH('Ficha de desembarque'!$J$16),YEAR('Ficha de desembarque'!$J$16)))</f>
        <v/>
      </c>
      <c r="B23" s="24"/>
      <c r="C23" s="24"/>
      <c r="D23" s="24"/>
      <c r="E23" s="24"/>
      <c r="F23" s="24"/>
      <c r="G23" s="24"/>
      <c r="H23" s="24"/>
      <c r="I23" s="24"/>
      <c r="J23" s="24"/>
      <c r="K23" s="25"/>
      <c r="L23" s="34"/>
      <c r="N23" s="35">
        <f t="shared" si="0"/>
        <v>0</v>
      </c>
      <c r="O23" s="35">
        <f t="shared" si="1"/>
        <v>0</v>
      </c>
      <c r="S23" s="9">
        <v>22</v>
      </c>
      <c r="T23" s="9" t="s">
        <v>519</v>
      </c>
    </row>
    <row r="24" spans="1:20" s="9" customFormat="1" ht="18" x14ac:dyDescent="0.25">
      <c r="A24" s="68" t="str">
        <f>IF(LEN(B23)=0,"",CONCATENATE('Ficha de desembarque'!$J$18,"_",'Ficha de desembarque'!$J$20,"_",DAY('Ficha de desembarque'!$J$16),MONTH('Ficha de desembarque'!$J$16),YEAR('Ficha de desembarque'!$J$16)))</f>
        <v/>
      </c>
      <c r="B24" s="22"/>
      <c r="C24" s="22"/>
      <c r="D24" s="22"/>
      <c r="E24" s="22"/>
      <c r="F24" s="22"/>
      <c r="G24" s="22"/>
      <c r="H24" s="22"/>
      <c r="I24" s="22"/>
      <c r="J24" s="22"/>
      <c r="K24" s="23"/>
      <c r="L24" s="34"/>
      <c r="N24" s="35">
        <f t="shared" si="0"/>
        <v>0</v>
      </c>
      <c r="O24" s="35">
        <f t="shared" si="1"/>
        <v>0</v>
      </c>
      <c r="S24" s="9">
        <v>23</v>
      </c>
      <c r="T24" s="9" t="s">
        <v>520</v>
      </c>
    </row>
    <row r="25" spans="1:20" s="9" customFormat="1" ht="18" x14ac:dyDescent="0.25">
      <c r="A25" s="69" t="str">
        <f>IF(LEN(B24)=0,"",CONCATENATE('Ficha de desembarque'!$J$18,"_",'Ficha de desembarque'!$J$20,"_",DAY('Ficha de desembarque'!$J$16),MONTH('Ficha de desembarque'!$J$16),YEAR('Ficha de desembarque'!$J$16)))</f>
        <v/>
      </c>
      <c r="B25" s="24"/>
      <c r="C25" s="24"/>
      <c r="D25" s="24"/>
      <c r="E25" s="24"/>
      <c r="F25" s="24"/>
      <c r="G25" s="24"/>
      <c r="H25" s="24"/>
      <c r="I25" s="24"/>
      <c r="J25" s="24"/>
      <c r="K25" s="25"/>
      <c r="L25" s="34"/>
      <c r="N25" s="35">
        <f t="shared" si="0"/>
        <v>0</v>
      </c>
      <c r="O25" s="35">
        <f t="shared" si="1"/>
        <v>0</v>
      </c>
      <c r="S25" s="9">
        <v>24</v>
      </c>
      <c r="T25" s="9" t="s">
        <v>521</v>
      </c>
    </row>
    <row r="26" spans="1:20" s="9" customFormat="1" ht="18" x14ac:dyDescent="0.25">
      <c r="A26" s="68" t="str">
        <f>IF(LEN(B25)=0,"",CONCATENATE('Ficha de desembarque'!$J$18,"_",'Ficha de desembarque'!$J$20,"_",DAY('Ficha de desembarque'!$J$16),MONTH('Ficha de desembarque'!$J$16),YEAR('Ficha de desembarque'!$J$16)))</f>
        <v/>
      </c>
      <c r="B26" s="22"/>
      <c r="C26" s="22"/>
      <c r="D26" s="22"/>
      <c r="E26" s="22"/>
      <c r="F26" s="22"/>
      <c r="G26" s="22"/>
      <c r="H26" s="22"/>
      <c r="I26" s="22"/>
      <c r="J26" s="22"/>
      <c r="K26" s="23"/>
      <c r="L26" s="34"/>
      <c r="N26" s="35">
        <f t="shared" si="0"/>
        <v>0</v>
      </c>
      <c r="O26" s="35">
        <f t="shared" si="1"/>
        <v>0</v>
      </c>
      <c r="S26" s="9">
        <v>25</v>
      </c>
      <c r="T26" s="9" t="s">
        <v>522</v>
      </c>
    </row>
    <row r="27" spans="1:20" s="9" customFormat="1" ht="18" x14ac:dyDescent="0.25">
      <c r="A27" s="69" t="str">
        <f>IF(LEN(B26)=0,"",CONCATENATE('Ficha de desembarque'!$J$18,"_",'Ficha de desembarque'!$J$20,"_",DAY('Ficha de desembarque'!$J$16),MONTH('Ficha de desembarque'!$J$16),YEAR('Ficha de desembarque'!$J$16)))</f>
        <v/>
      </c>
      <c r="B27" s="24"/>
      <c r="C27" s="24"/>
      <c r="D27" s="24"/>
      <c r="E27" s="24"/>
      <c r="F27" s="24"/>
      <c r="G27" s="24"/>
      <c r="H27" s="24"/>
      <c r="I27" s="24"/>
      <c r="J27" s="24"/>
      <c r="K27" s="25"/>
      <c r="L27" s="34"/>
      <c r="N27" s="35">
        <f t="shared" si="0"/>
        <v>0</v>
      </c>
      <c r="O27" s="35">
        <f t="shared" si="1"/>
        <v>0</v>
      </c>
      <c r="S27" s="9">
        <v>26</v>
      </c>
      <c r="T27" s="9" t="s">
        <v>523</v>
      </c>
    </row>
    <row r="28" spans="1:20" s="9" customFormat="1" ht="18" x14ac:dyDescent="0.25">
      <c r="A28" s="68" t="str">
        <f>IF(LEN(B27)=0,"",CONCATENATE('Ficha de desembarque'!$J$18,"_",'Ficha de desembarque'!$J$20,"_",DAY('Ficha de desembarque'!$J$16),MONTH('Ficha de desembarque'!$J$16),YEAR('Ficha de desembarque'!$J$16)))</f>
        <v/>
      </c>
      <c r="B28" s="22"/>
      <c r="C28" s="22"/>
      <c r="D28" s="22"/>
      <c r="E28" s="22"/>
      <c r="F28" s="22"/>
      <c r="G28" s="22"/>
      <c r="H28" s="22"/>
      <c r="I28" s="22"/>
      <c r="J28" s="22"/>
      <c r="K28" s="23"/>
      <c r="L28" s="34"/>
      <c r="N28" s="35">
        <f t="shared" si="0"/>
        <v>0</v>
      </c>
      <c r="O28" s="35">
        <f t="shared" si="1"/>
        <v>0</v>
      </c>
      <c r="S28" s="9">
        <v>27</v>
      </c>
      <c r="T28" s="9" t="s">
        <v>524</v>
      </c>
    </row>
    <row r="29" spans="1:20" s="9" customFormat="1" ht="18" x14ac:dyDescent="0.25">
      <c r="A29" s="69" t="str">
        <f>IF(LEN(B28)=0,"",CONCATENATE('Ficha de desembarque'!$J$18,"_",'Ficha de desembarque'!$J$20,"_",DAY('Ficha de desembarque'!$J$16),MONTH('Ficha de desembarque'!$J$16),YEAR('Ficha de desembarque'!$J$16)))</f>
        <v/>
      </c>
      <c r="B29" s="24"/>
      <c r="C29" s="24"/>
      <c r="D29" s="24"/>
      <c r="E29" s="24"/>
      <c r="F29" s="24"/>
      <c r="G29" s="24"/>
      <c r="H29" s="24"/>
      <c r="I29" s="24"/>
      <c r="J29" s="24"/>
      <c r="K29" s="25"/>
      <c r="L29" s="34"/>
      <c r="N29" s="35">
        <f t="shared" si="0"/>
        <v>0</v>
      </c>
      <c r="O29" s="35">
        <f t="shared" si="1"/>
        <v>0</v>
      </c>
      <c r="S29" s="9">
        <v>28</v>
      </c>
      <c r="T29" s="9" t="s">
        <v>525</v>
      </c>
    </row>
    <row r="30" spans="1:20" s="9" customFormat="1" ht="18" x14ac:dyDescent="0.25">
      <c r="A30" s="68" t="str">
        <f>IF(LEN(B29)=0,"",CONCATENATE('Ficha de desembarque'!$J$18,"_",'Ficha de desembarque'!$J$20,"_",DAY('Ficha de desembarque'!$J$16),MONTH('Ficha de desembarque'!$J$16),YEAR('Ficha de desembarque'!$J$16)))</f>
        <v/>
      </c>
      <c r="B30" s="22"/>
      <c r="C30" s="22"/>
      <c r="D30" s="22"/>
      <c r="E30" s="22"/>
      <c r="F30" s="22"/>
      <c r="G30" s="22"/>
      <c r="H30" s="22"/>
      <c r="I30" s="22"/>
      <c r="J30" s="22"/>
      <c r="K30" s="23"/>
      <c r="L30" s="34"/>
      <c r="N30" s="35">
        <f t="shared" si="0"/>
        <v>0</v>
      </c>
      <c r="O30" s="35">
        <f t="shared" si="1"/>
        <v>0</v>
      </c>
      <c r="S30" s="9">
        <v>29</v>
      </c>
      <c r="T30" s="9" t="s">
        <v>288</v>
      </c>
    </row>
    <row r="31" spans="1:20" s="9" customFormat="1" ht="18" x14ac:dyDescent="0.25">
      <c r="A31" s="69" t="str">
        <f>IF(LEN(B30)=0,"",CONCATENATE('Ficha de desembarque'!$J$18,"_",'Ficha de desembarque'!$J$20,"_",DAY('Ficha de desembarque'!$J$16),MONTH('Ficha de desembarque'!$J$16),YEAR('Ficha de desembarque'!$J$16)))</f>
        <v/>
      </c>
      <c r="B31" s="24"/>
      <c r="C31" s="24"/>
      <c r="D31" s="24"/>
      <c r="E31" s="24"/>
      <c r="F31" s="24"/>
      <c r="G31" s="24"/>
      <c r="H31" s="24"/>
      <c r="I31" s="24"/>
      <c r="J31" s="24"/>
      <c r="K31" s="25"/>
      <c r="L31" s="34"/>
      <c r="N31" s="35">
        <f t="shared" si="0"/>
        <v>0</v>
      </c>
      <c r="O31" s="35">
        <f t="shared" si="1"/>
        <v>0</v>
      </c>
      <c r="S31" s="9">
        <v>30</v>
      </c>
      <c r="T31" s="9" t="s">
        <v>526</v>
      </c>
    </row>
    <row r="32" spans="1:20" s="9" customFormat="1" ht="18" x14ac:dyDescent="0.25">
      <c r="A32" s="68" t="str">
        <f>IF(LEN(B31)=0,"",CONCATENATE('Ficha de desembarque'!$J$18,"_",'Ficha de desembarque'!$J$20,"_",DAY('Ficha de desembarque'!$J$16),MONTH('Ficha de desembarque'!$J$16),YEAR('Ficha de desembarque'!$J$16)))</f>
        <v/>
      </c>
      <c r="B32" s="22"/>
      <c r="C32" s="22"/>
      <c r="D32" s="22"/>
      <c r="E32" s="22"/>
      <c r="F32" s="22"/>
      <c r="G32" s="22"/>
      <c r="H32" s="22"/>
      <c r="I32" s="22"/>
      <c r="J32" s="22"/>
      <c r="K32" s="23"/>
      <c r="L32" s="34"/>
      <c r="N32" s="35">
        <f t="shared" si="0"/>
        <v>0</v>
      </c>
      <c r="O32" s="35">
        <f t="shared" si="1"/>
        <v>0</v>
      </c>
      <c r="S32" s="9">
        <v>31</v>
      </c>
      <c r="T32" s="9" t="s">
        <v>527</v>
      </c>
    </row>
    <row r="33" spans="1:20" s="9" customFormat="1" ht="18" x14ac:dyDescent="0.25">
      <c r="A33" s="69" t="str">
        <f>IF(LEN(B32)=0,"",CONCATENATE('Ficha de desembarque'!$J$18,"_",'Ficha de desembarque'!$J$20,"_",DAY('Ficha de desembarque'!$J$16),MONTH('Ficha de desembarque'!$J$16),YEAR('Ficha de desembarque'!$J$16)))</f>
        <v/>
      </c>
      <c r="B33" s="24"/>
      <c r="C33" s="24"/>
      <c r="D33" s="24"/>
      <c r="E33" s="24"/>
      <c r="F33" s="24"/>
      <c r="G33" s="24"/>
      <c r="H33" s="24"/>
      <c r="I33" s="24"/>
      <c r="J33" s="24"/>
      <c r="K33" s="25"/>
      <c r="L33" s="34"/>
      <c r="N33" s="35">
        <f t="shared" si="0"/>
        <v>0</v>
      </c>
      <c r="O33" s="35">
        <f t="shared" si="1"/>
        <v>0</v>
      </c>
      <c r="S33" s="9">
        <v>32</v>
      </c>
      <c r="T33" s="9" t="s">
        <v>528</v>
      </c>
    </row>
    <row r="34" spans="1:20" s="9" customFormat="1" ht="18" x14ac:dyDescent="0.25">
      <c r="A34" s="68" t="str">
        <f>IF(LEN(B33)=0,"",CONCATENATE('Ficha de desembarque'!$J$18,"_",'Ficha de desembarque'!$J$20,"_",DAY('Ficha de desembarque'!$J$16),MONTH('Ficha de desembarque'!$J$16),YEAR('Ficha de desembarque'!$J$16)))</f>
        <v/>
      </c>
      <c r="B34" s="22"/>
      <c r="C34" s="22"/>
      <c r="D34" s="22"/>
      <c r="E34" s="22"/>
      <c r="F34" s="22"/>
      <c r="G34" s="22"/>
      <c r="H34" s="22"/>
      <c r="I34" s="22"/>
      <c r="J34" s="22"/>
      <c r="K34" s="23"/>
      <c r="L34" s="34"/>
      <c r="N34" s="35">
        <f t="shared" si="0"/>
        <v>0</v>
      </c>
      <c r="O34" s="35">
        <f t="shared" si="1"/>
        <v>0</v>
      </c>
      <c r="S34" s="9">
        <v>33</v>
      </c>
      <c r="T34" s="9" t="s">
        <v>529</v>
      </c>
    </row>
    <row r="35" spans="1:20" s="9" customFormat="1" ht="18" x14ac:dyDescent="0.25">
      <c r="A35" s="69" t="str">
        <f>IF(LEN(B34)=0,"",CONCATENATE('Ficha de desembarque'!$J$18,"_",'Ficha de desembarque'!$J$20,"_",DAY('Ficha de desembarque'!$J$16),MONTH('Ficha de desembarque'!$J$16),YEAR('Ficha de desembarque'!$J$16)))</f>
        <v/>
      </c>
      <c r="B35" s="24"/>
      <c r="C35" s="24"/>
      <c r="D35" s="24"/>
      <c r="E35" s="24"/>
      <c r="F35" s="24"/>
      <c r="G35" s="24"/>
      <c r="H35" s="24"/>
      <c r="I35" s="24"/>
      <c r="J35" s="24"/>
      <c r="K35" s="25"/>
      <c r="L35" s="34"/>
      <c r="N35" s="35">
        <f t="shared" si="0"/>
        <v>0</v>
      </c>
      <c r="O35" s="35">
        <f t="shared" si="1"/>
        <v>0</v>
      </c>
      <c r="S35" s="9">
        <v>34</v>
      </c>
      <c r="T35" s="9" t="s">
        <v>530</v>
      </c>
    </row>
    <row r="36" spans="1:20" s="9" customFormat="1" ht="18" x14ac:dyDescent="0.25">
      <c r="A36" s="68" t="str">
        <f>IF(LEN(B35)=0,"",CONCATENATE('Ficha de desembarque'!$J$18,"_",'Ficha de desembarque'!$J$20,"_",DAY('Ficha de desembarque'!$J$16),MONTH('Ficha de desembarque'!$J$16),YEAR('Ficha de desembarque'!$J$16)))</f>
        <v/>
      </c>
      <c r="B36" s="22"/>
      <c r="C36" s="22"/>
      <c r="D36" s="22"/>
      <c r="E36" s="22"/>
      <c r="F36" s="22"/>
      <c r="G36" s="22"/>
      <c r="H36" s="22"/>
      <c r="I36" s="22"/>
      <c r="J36" s="22"/>
      <c r="K36" s="23"/>
      <c r="L36" s="34"/>
      <c r="N36" s="35">
        <f t="shared" si="0"/>
        <v>0</v>
      </c>
      <c r="O36" s="35">
        <f t="shared" si="1"/>
        <v>0</v>
      </c>
      <c r="S36" s="9">
        <v>35</v>
      </c>
      <c r="T36" s="9" t="s">
        <v>531</v>
      </c>
    </row>
    <row r="37" spans="1:20" s="9" customFormat="1" ht="18" x14ac:dyDescent="0.25">
      <c r="A37" s="69" t="str">
        <f>IF(LEN(B36)=0,"",CONCATENATE('Ficha de desembarque'!$J$18,"_",'Ficha de desembarque'!$J$20,"_",DAY('Ficha de desembarque'!$J$16),MONTH('Ficha de desembarque'!$J$16),YEAR('Ficha de desembarque'!$J$16)))</f>
        <v/>
      </c>
      <c r="B37" s="24"/>
      <c r="C37" s="24"/>
      <c r="D37" s="24"/>
      <c r="E37" s="24"/>
      <c r="F37" s="24"/>
      <c r="G37" s="24"/>
      <c r="H37" s="24"/>
      <c r="I37" s="24"/>
      <c r="J37" s="24"/>
      <c r="K37" s="25"/>
      <c r="L37" s="34"/>
      <c r="N37" s="35">
        <f t="shared" si="0"/>
        <v>0</v>
      </c>
      <c r="O37" s="35">
        <f t="shared" si="1"/>
        <v>0</v>
      </c>
      <c r="S37" s="9">
        <v>36</v>
      </c>
      <c r="T37" s="9" t="s">
        <v>532</v>
      </c>
    </row>
    <row r="38" spans="1:20" s="9" customFormat="1" ht="18" x14ac:dyDescent="0.25">
      <c r="A38" s="68" t="str">
        <f>IF(LEN(B37)=0,"",CONCATENATE('Ficha de desembarque'!$J$18,"_",'Ficha de desembarque'!$J$20,"_",DAY('Ficha de desembarque'!$J$16),MONTH('Ficha de desembarque'!$J$16),YEAR('Ficha de desembarque'!$J$16)))</f>
        <v/>
      </c>
      <c r="B38" s="22"/>
      <c r="C38" s="22"/>
      <c r="D38" s="22"/>
      <c r="E38" s="22"/>
      <c r="F38" s="22"/>
      <c r="G38" s="22"/>
      <c r="H38" s="22"/>
      <c r="I38" s="22"/>
      <c r="J38" s="22"/>
      <c r="K38" s="23"/>
      <c r="L38" s="34"/>
      <c r="N38" s="35">
        <f t="shared" si="0"/>
        <v>0</v>
      </c>
      <c r="O38" s="35">
        <f t="shared" si="1"/>
        <v>0</v>
      </c>
      <c r="S38" s="9">
        <v>37</v>
      </c>
      <c r="T38" s="9" t="s">
        <v>533</v>
      </c>
    </row>
    <row r="39" spans="1:20" s="9" customFormat="1" ht="18" x14ac:dyDescent="0.25">
      <c r="A39" s="69" t="str">
        <f>IF(LEN(B38)=0,"",CONCATENATE('Ficha de desembarque'!$J$18,"_",'Ficha de desembarque'!$J$20,"_",DAY('Ficha de desembarque'!$J$16),MONTH('Ficha de desembarque'!$J$16),YEAR('Ficha de desembarque'!$J$16)))</f>
        <v/>
      </c>
      <c r="B39" s="24"/>
      <c r="C39" s="24"/>
      <c r="D39" s="24"/>
      <c r="E39" s="24"/>
      <c r="F39" s="24"/>
      <c r="G39" s="24"/>
      <c r="H39" s="24"/>
      <c r="I39" s="24"/>
      <c r="J39" s="24"/>
      <c r="K39" s="25"/>
      <c r="L39" s="34"/>
      <c r="N39" s="35">
        <f t="shared" si="0"/>
        <v>0</v>
      </c>
      <c r="O39" s="35">
        <f t="shared" si="1"/>
        <v>0</v>
      </c>
      <c r="S39" s="9">
        <v>38</v>
      </c>
      <c r="T39" s="9" t="s">
        <v>534</v>
      </c>
    </row>
    <row r="40" spans="1:20" s="9" customFormat="1" ht="18" x14ac:dyDescent="0.25">
      <c r="A40" s="68" t="str">
        <f>IF(LEN(B39)=0,"",CONCATENATE('Ficha de desembarque'!$J$18,"_",'Ficha de desembarque'!$J$20,"_",DAY('Ficha de desembarque'!$J$16),MONTH('Ficha de desembarque'!$J$16),YEAR('Ficha de desembarque'!$J$16)))</f>
        <v/>
      </c>
      <c r="B40" s="22"/>
      <c r="C40" s="22"/>
      <c r="D40" s="22"/>
      <c r="E40" s="22"/>
      <c r="F40" s="22"/>
      <c r="G40" s="22"/>
      <c r="H40" s="22"/>
      <c r="I40" s="22"/>
      <c r="J40" s="22"/>
      <c r="K40" s="23"/>
      <c r="L40" s="34"/>
      <c r="N40" s="35">
        <f t="shared" si="0"/>
        <v>0</v>
      </c>
      <c r="O40" s="35">
        <f t="shared" si="1"/>
        <v>0</v>
      </c>
      <c r="S40" s="9">
        <v>39</v>
      </c>
      <c r="T40" s="9" t="s">
        <v>535</v>
      </c>
    </row>
    <row r="41" spans="1:20" s="9" customFormat="1" ht="18" x14ac:dyDescent="0.25">
      <c r="A41" s="69" t="str">
        <f>IF(LEN(B40)=0,"",CONCATENATE('Ficha de desembarque'!$J$18,"_",'Ficha de desembarque'!$J$20,"_",DAY('Ficha de desembarque'!$J$16),MONTH('Ficha de desembarque'!$J$16),YEAR('Ficha de desembarque'!$J$16)))</f>
        <v/>
      </c>
      <c r="B41" s="24"/>
      <c r="C41" s="24"/>
      <c r="D41" s="24"/>
      <c r="E41" s="24"/>
      <c r="F41" s="24"/>
      <c r="G41" s="24"/>
      <c r="H41" s="24"/>
      <c r="I41" s="24"/>
      <c r="J41" s="24"/>
      <c r="K41" s="25"/>
      <c r="L41" s="34"/>
      <c r="N41" s="35">
        <f t="shared" si="0"/>
        <v>0</v>
      </c>
      <c r="O41" s="35">
        <f t="shared" si="1"/>
        <v>0</v>
      </c>
      <c r="S41" s="9">
        <v>40</v>
      </c>
      <c r="T41" s="9" t="s">
        <v>536</v>
      </c>
    </row>
    <row r="42" spans="1:20" s="9" customFormat="1" ht="18" x14ac:dyDescent="0.25">
      <c r="A42" s="68" t="str">
        <f>IF(LEN(B41)=0,"",CONCATENATE('Ficha de desembarque'!$J$18,"_",'Ficha de desembarque'!$J$20,"_",DAY('Ficha de desembarque'!$J$16),MONTH('Ficha de desembarque'!$J$16),YEAR('Ficha de desembarque'!$J$16)))</f>
        <v/>
      </c>
      <c r="B42" s="22"/>
      <c r="C42" s="22"/>
      <c r="D42" s="22"/>
      <c r="E42" s="22"/>
      <c r="F42" s="22"/>
      <c r="G42" s="22"/>
      <c r="H42" s="22"/>
      <c r="I42" s="22"/>
      <c r="J42" s="22"/>
      <c r="K42" s="23"/>
      <c r="L42" s="34"/>
      <c r="N42" s="35">
        <f t="shared" si="0"/>
        <v>0</v>
      </c>
      <c r="O42" s="35">
        <f t="shared" si="1"/>
        <v>0</v>
      </c>
      <c r="S42" s="9">
        <v>41</v>
      </c>
      <c r="T42" s="9" t="s">
        <v>537</v>
      </c>
    </row>
    <row r="43" spans="1:20" s="9" customFormat="1" ht="18" x14ac:dyDescent="0.25">
      <c r="A43" s="69" t="str">
        <f>IF(LEN(B42)=0,"",CONCATENATE('Ficha de desembarque'!$J$18,"_",'Ficha de desembarque'!$J$20,"_",DAY('Ficha de desembarque'!$J$16),MONTH('Ficha de desembarque'!$J$16),YEAR('Ficha de desembarque'!$J$16)))</f>
        <v/>
      </c>
      <c r="B43" s="24"/>
      <c r="C43" s="24"/>
      <c r="D43" s="24"/>
      <c r="E43" s="24"/>
      <c r="F43" s="24"/>
      <c r="G43" s="24"/>
      <c r="H43" s="24"/>
      <c r="I43" s="24"/>
      <c r="J43" s="24"/>
      <c r="K43" s="25"/>
      <c r="L43" s="34"/>
      <c r="N43" s="35">
        <f t="shared" si="0"/>
        <v>0</v>
      </c>
      <c r="O43" s="35">
        <f t="shared" si="1"/>
        <v>0</v>
      </c>
      <c r="S43" s="9">
        <v>42</v>
      </c>
      <c r="T43" s="9" t="s">
        <v>538</v>
      </c>
    </row>
    <row r="44" spans="1:20" s="9" customFormat="1" ht="18" x14ac:dyDescent="0.25">
      <c r="A44" s="68" t="str">
        <f>IF(LEN(B43)=0,"",CONCATENATE('Ficha de desembarque'!$J$18,"_",'Ficha de desembarque'!$J$20,"_",DAY('Ficha de desembarque'!$J$16),MONTH('Ficha de desembarque'!$J$16),YEAR('Ficha de desembarque'!$J$16)))</f>
        <v/>
      </c>
      <c r="B44" s="22"/>
      <c r="C44" s="22"/>
      <c r="D44" s="22"/>
      <c r="E44" s="22"/>
      <c r="F44" s="22"/>
      <c r="G44" s="22"/>
      <c r="H44" s="22"/>
      <c r="I44" s="22"/>
      <c r="J44" s="22"/>
      <c r="K44" s="23"/>
      <c r="L44" s="34"/>
      <c r="N44" s="35">
        <f t="shared" si="0"/>
        <v>0</v>
      </c>
      <c r="O44" s="35">
        <f t="shared" si="1"/>
        <v>0</v>
      </c>
      <c r="S44" s="9">
        <v>43</v>
      </c>
      <c r="T44" s="9" t="s">
        <v>539</v>
      </c>
    </row>
    <row r="45" spans="1:20" s="9" customFormat="1" ht="18" x14ac:dyDescent="0.25">
      <c r="A45" s="69" t="str">
        <f>IF(LEN(B44)=0,"",CONCATENATE('Ficha de desembarque'!$J$18,"_",'Ficha de desembarque'!$J$20,"_",DAY('Ficha de desembarque'!$J$16),MONTH('Ficha de desembarque'!$J$16),YEAR('Ficha de desembarque'!$J$16)))</f>
        <v/>
      </c>
      <c r="B45" s="24"/>
      <c r="C45" s="24"/>
      <c r="D45" s="24"/>
      <c r="E45" s="24"/>
      <c r="F45" s="24"/>
      <c r="G45" s="24"/>
      <c r="H45" s="24"/>
      <c r="I45" s="24"/>
      <c r="J45" s="24"/>
      <c r="K45" s="25"/>
      <c r="L45" s="34"/>
      <c r="N45" s="35">
        <f t="shared" si="0"/>
        <v>0</v>
      </c>
      <c r="O45" s="35">
        <f t="shared" si="1"/>
        <v>0</v>
      </c>
      <c r="S45" s="9">
        <v>44</v>
      </c>
      <c r="T45" s="9" t="s">
        <v>540</v>
      </c>
    </row>
    <row r="46" spans="1:20" s="9" customFormat="1" ht="18" x14ac:dyDescent="0.25">
      <c r="A46" s="68" t="str">
        <f>IF(LEN(B45)=0,"",CONCATENATE('Ficha de desembarque'!$J$18,"_",'Ficha de desembarque'!$J$20,"_",DAY('Ficha de desembarque'!$J$16),MONTH('Ficha de desembarque'!$J$16),YEAR('Ficha de desembarque'!$J$16)))</f>
        <v/>
      </c>
      <c r="B46" s="22"/>
      <c r="C46" s="22"/>
      <c r="D46" s="22"/>
      <c r="E46" s="22"/>
      <c r="F46" s="22"/>
      <c r="G46" s="22"/>
      <c r="H46" s="22"/>
      <c r="I46" s="22"/>
      <c r="J46" s="22"/>
      <c r="K46" s="23"/>
      <c r="L46" s="34"/>
      <c r="N46" s="35">
        <f t="shared" si="0"/>
        <v>0</v>
      </c>
      <c r="O46" s="35">
        <f t="shared" si="1"/>
        <v>0</v>
      </c>
      <c r="S46" s="9">
        <v>45</v>
      </c>
      <c r="T46" s="9" t="s">
        <v>541</v>
      </c>
    </row>
    <row r="47" spans="1:20" s="9" customFormat="1" ht="18" x14ac:dyDescent="0.25">
      <c r="A47" s="69" t="str">
        <f>IF(LEN(B46)=0,"",CONCATENATE('Ficha de desembarque'!$J$18,"_",'Ficha de desembarque'!$J$20,"_",DAY('Ficha de desembarque'!$J$16),MONTH('Ficha de desembarque'!$J$16),YEAR('Ficha de desembarque'!$J$16)))</f>
        <v/>
      </c>
      <c r="B47" s="24"/>
      <c r="C47" s="24"/>
      <c r="D47" s="24"/>
      <c r="E47" s="24"/>
      <c r="F47" s="24"/>
      <c r="G47" s="24"/>
      <c r="H47" s="24"/>
      <c r="I47" s="24"/>
      <c r="J47" s="24"/>
      <c r="K47" s="25"/>
      <c r="L47" s="34"/>
      <c r="N47" s="35">
        <f t="shared" si="0"/>
        <v>0</v>
      </c>
      <c r="O47" s="35">
        <f t="shared" si="1"/>
        <v>0</v>
      </c>
      <c r="S47" s="9">
        <v>46</v>
      </c>
      <c r="T47" s="9" t="s">
        <v>542</v>
      </c>
    </row>
    <row r="48" spans="1:20" s="9" customFormat="1" ht="18" x14ac:dyDescent="0.25">
      <c r="A48" s="68" t="str">
        <f>IF(LEN(B47)=0,"",CONCATENATE('Ficha de desembarque'!$J$18,"_",'Ficha de desembarque'!$J$20,"_",DAY('Ficha de desembarque'!$J$16),MONTH('Ficha de desembarque'!$J$16),YEAR('Ficha de desembarque'!$J$16)))</f>
        <v/>
      </c>
      <c r="B48" s="22"/>
      <c r="C48" s="22"/>
      <c r="D48" s="22"/>
      <c r="E48" s="22"/>
      <c r="F48" s="22"/>
      <c r="G48" s="22"/>
      <c r="H48" s="22"/>
      <c r="I48" s="22"/>
      <c r="J48" s="22"/>
      <c r="K48" s="23"/>
      <c r="L48" s="34"/>
      <c r="N48" s="35">
        <f t="shared" si="0"/>
        <v>0</v>
      </c>
      <c r="O48" s="35">
        <f t="shared" si="1"/>
        <v>0</v>
      </c>
      <c r="S48" s="9">
        <v>47</v>
      </c>
      <c r="T48" s="9" t="s">
        <v>543</v>
      </c>
    </row>
    <row r="49" spans="1:20" s="9" customFormat="1" ht="18" x14ac:dyDescent="0.25">
      <c r="A49" s="69" t="str">
        <f>IF(LEN(B48)=0,"",CONCATENATE('Ficha de desembarque'!$J$18,"_",'Ficha de desembarque'!$J$20,"_",DAY('Ficha de desembarque'!$J$16),MONTH('Ficha de desembarque'!$J$16),YEAR('Ficha de desembarque'!$J$16)))</f>
        <v/>
      </c>
      <c r="B49" s="24"/>
      <c r="C49" s="24"/>
      <c r="D49" s="24"/>
      <c r="E49" s="24"/>
      <c r="F49" s="24"/>
      <c r="G49" s="24"/>
      <c r="H49" s="24"/>
      <c r="I49" s="24"/>
      <c r="J49" s="24"/>
      <c r="K49" s="25"/>
      <c r="L49" s="34"/>
      <c r="N49" s="35">
        <f t="shared" si="0"/>
        <v>0</v>
      </c>
      <c r="O49" s="35">
        <f t="shared" si="1"/>
        <v>0</v>
      </c>
      <c r="S49" s="9">
        <v>48</v>
      </c>
      <c r="T49" s="9" t="s">
        <v>544</v>
      </c>
    </row>
    <row r="50" spans="1:20" s="9" customFormat="1" ht="18" x14ac:dyDescent="0.25">
      <c r="A50" s="68" t="str">
        <f>IF(LEN(B49)=0,"",CONCATENATE('Ficha de desembarque'!$J$18,"_",'Ficha de desembarque'!$J$20,"_",DAY('Ficha de desembarque'!$J$16),MONTH('Ficha de desembarque'!$J$16),YEAR('Ficha de desembarque'!$J$16)))</f>
        <v/>
      </c>
      <c r="B50" s="22"/>
      <c r="C50" s="22"/>
      <c r="D50" s="22"/>
      <c r="E50" s="22"/>
      <c r="F50" s="22"/>
      <c r="G50" s="22"/>
      <c r="H50" s="22"/>
      <c r="I50" s="22"/>
      <c r="J50" s="22"/>
      <c r="K50" s="23"/>
      <c r="L50" s="34"/>
      <c r="N50" s="35">
        <f t="shared" si="0"/>
        <v>0</v>
      </c>
      <c r="O50" s="35">
        <f t="shared" si="1"/>
        <v>0</v>
      </c>
      <c r="S50" s="9">
        <v>49</v>
      </c>
      <c r="T50" s="9" t="s">
        <v>545</v>
      </c>
    </row>
    <row r="51" spans="1:20" s="9" customFormat="1" ht="18" x14ac:dyDescent="0.25">
      <c r="A51" s="69" t="str">
        <f>IF(LEN(B50)=0,"",CONCATENATE('Ficha de desembarque'!$J$18,"_",'Ficha de desembarque'!$J$20,"_",DAY('Ficha de desembarque'!$J$16),MONTH('Ficha de desembarque'!$J$16),YEAR('Ficha de desembarque'!$J$16)))</f>
        <v/>
      </c>
      <c r="B51" s="24"/>
      <c r="C51" s="24"/>
      <c r="D51" s="24"/>
      <c r="E51" s="24"/>
      <c r="F51" s="24"/>
      <c r="G51" s="24"/>
      <c r="H51" s="24"/>
      <c r="I51" s="24"/>
      <c r="J51" s="24"/>
      <c r="K51" s="25"/>
      <c r="L51" s="34"/>
      <c r="N51" s="35">
        <f t="shared" si="0"/>
        <v>0</v>
      </c>
      <c r="O51" s="35">
        <f t="shared" si="1"/>
        <v>0</v>
      </c>
      <c r="S51" s="9">
        <v>50</v>
      </c>
      <c r="T51" s="9" t="s">
        <v>546</v>
      </c>
    </row>
    <row r="52" spans="1:20" s="9" customFormat="1" ht="18" x14ac:dyDescent="0.25">
      <c r="A52" s="68" t="str">
        <f>IF(LEN(B51)=0,"",CONCATENATE('Ficha de desembarque'!$J$18,"_",'Ficha de desembarque'!$J$20,"_",DAY('Ficha de desembarque'!$J$16),MONTH('Ficha de desembarque'!$J$16),YEAR('Ficha de desembarque'!$J$16)))</f>
        <v/>
      </c>
      <c r="B52" s="22"/>
      <c r="C52" s="22"/>
      <c r="D52" s="22"/>
      <c r="E52" s="22"/>
      <c r="F52" s="22"/>
      <c r="G52" s="22"/>
      <c r="H52" s="22"/>
      <c r="I52" s="22"/>
      <c r="J52" s="22"/>
      <c r="K52" s="23"/>
      <c r="L52" s="34"/>
      <c r="N52" s="35">
        <f t="shared" si="0"/>
        <v>0</v>
      </c>
      <c r="O52" s="35">
        <f t="shared" si="1"/>
        <v>0</v>
      </c>
      <c r="S52" s="9">
        <v>51</v>
      </c>
      <c r="T52" s="9" t="s">
        <v>547</v>
      </c>
    </row>
    <row r="53" spans="1:20" s="9" customFormat="1" ht="18" x14ac:dyDescent="0.25">
      <c r="A53" s="69" t="str">
        <f>IF(LEN(B52)=0,"",CONCATENATE('Ficha de desembarque'!$J$18,"_",'Ficha de desembarque'!$J$20,"_",DAY('Ficha de desembarque'!$J$16),MONTH('Ficha de desembarque'!$J$16),YEAR('Ficha de desembarque'!$J$16)))</f>
        <v/>
      </c>
      <c r="B53" s="24"/>
      <c r="C53" s="24"/>
      <c r="D53" s="24"/>
      <c r="E53" s="24"/>
      <c r="F53" s="24"/>
      <c r="G53" s="24"/>
      <c r="H53" s="24"/>
      <c r="I53" s="24"/>
      <c r="J53" s="24"/>
      <c r="K53" s="25"/>
      <c r="L53" s="34"/>
      <c r="N53" s="35">
        <f t="shared" si="0"/>
        <v>0</v>
      </c>
      <c r="O53" s="35">
        <f t="shared" si="1"/>
        <v>0</v>
      </c>
      <c r="S53" s="9">
        <v>52</v>
      </c>
      <c r="T53" s="9" t="s">
        <v>548</v>
      </c>
    </row>
    <row r="54" spans="1:20" s="9" customFormat="1" ht="18" x14ac:dyDescent="0.25">
      <c r="A54" s="68" t="str">
        <f>IF(LEN(B53)=0,"",CONCATENATE('Ficha de desembarque'!$J$18,"_",'Ficha de desembarque'!$J$20,"_",DAY('Ficha de desembarque'!$J$16),MONTH('Ficha de desembarque'!$J$16),YEAR('Ficha de desembarque'!$J$16)))</f>
        <v/>
      </c>
      <c r="B54" s="22"/>
      <c r="C54" s="22"/>
      <c r="D54" s="22"/>
      <c r="E54" s="22"/>
      <c r="F54" s="22"/>
      <c r="G54" s="22"/>
      <c r="H54" s="22"/>
      <c r="I54" s="22"/>
      <c r="J54" s="22"/>
      <c r="K54" s="23"/>
      <c r="L54" s="34"/>
      <c r="N54" s="35">
        <f t="shared" si="0"/>
        <v>0</v>
      </c>
      <c r="O54" s="35">
        <f t="shared" si="1"/>
        <v>0</v>
      </c>
      <c r="S54" s="9">
        <v>53</v>
      </c>
      <c r="T54" s="9" t="s">
        <v>549</v>
      </c>
    </row>
    <row r="55" spans="1:20" s="9" customFormat="1" ht="18" x14ac:dyDescent="0.25">
      <c r="A55" s="69" t="str">
        <f>IF(LEN(B54)=0,"",CONCATENATE('Ficha de desembarque'!$J$18,"_",'Ficha de desembarque'!$J$20,"_",DAY('Ficha de desembarque'!$J$16),MONTH('Ficha de desembarque'!$J$16),YEAR('Ficha de desembarque'!$J$16)))</f>
        <v/>
      </c>
      <c r="B55" s="24"/>
      <c r="C55" s="24"/>
      <c r="D55" s="24"/>
      <c r="E55" s="24"/>
      <c r="F55" s="24"/>
      <c r="G55" s="24"/>
      <c r="H55" s="24"/>
      <c r="I55" s="24"/>
      <c r="J55" s="24"/>
      <c r="K55" s="25"/>
      <c r="L55" s="34"/>
      <c r="N55" s="35">
        <f t="shared" si="0"/>
        <v>0</v>
      </c>
      <c r="O55" s="35">
        <f t="shared" si="1"/>
        <v>0</v>
      </c>
      <c r="S55" s="9">
        <v>54</v>
      </c>
      <c r="T55" s="9" t="s">
        <v>550</v>
      </c>
    </row>
    <row r="56" spans="1:20" s="9" customFormat="1" ht="18" x14ac:dyDescent="0.25">
      <c r="A56" s="68" t="str">
        <f>IF(LEN(B55)=0,"",CONCATENATE('Ficha de desembarque'!$J$18,"_",'Ficha de desembarque'!$J$20,"_",DAY('Ficha de desembarque'!$J$16),MONTH('Ficha de desembarque'!$J$16),YEAR('Ficha de desembarque'!$J$16)))</f>
        <v/>
      </c>
      <c r="B56" s="22"/>
      <c r="C56" s="22"/>
      <c r="D56" s="22"/>
      <c r="E56" s="22"/>
      <c r="F56" s="22"/>
      <c r="G56" s="22"/>
      <c r="H56" s="22"/>
      <c r="I56" s="22"/>
      <c r="J56" s="22"/>
      <c r="K56" s="23"/>
      <c r="L56" s="34"/>
      <c r="N56" s="35">
        <f t="shared" si="0"/>
        <v>0</v>
      </c>
      <c r="O56" s="35">
        <f t="shared" si="1"/>
        <v>0</v>
      </c>
      <c r="S56" s="9">
        <v>55</v>
      </c>
      <c r="T56" s="9" t="s">
        <v>551</v>
      </c>
    </row>
    <row r="57" spans="1:20" s="9" customFormat="1" ht="18" x14ac:dyDescent="0.25">
      <c r="A57" s="69" t="str">
        <f>IF(LEN(B56)=0,"",CONCATENATE('Ficha de desembarque'!$J$18,"_",'Ficha de desembarque'!$J$20,"_",DAY('Ficha de desembarque'!$J$16),MONTH('Ficha de desembarque'!$J$16),YEAR('Ficha de desembarque'!$J$16)))</f>
        <v/>
      </c>
      <c r="B57" s="24"/>
      <c r="C57" s="24"/>
      <c r="D57" s="24"/>
      <c r="E57" s="24"/>
      <c r="F57" s="24"/>
      <c r="G57" s="24"/>
      <c r="H57" s="24"/>
      <c r="I57" s="24"/>
      <c r="J57" s="24"/>
      <c r="K57" s="25"/>
      <c r="L57" s="34"/>
      <c r="N57" s="35">
        <f t="shared" si="0"/>
        <v>0</v>
      </c>
      <c r="O57" s="35">
        <f t="shared" si="1"/>
        <v>0</v>
      </c>
      <c r="S57" s="9">
        <v>56</v>
      </c>
      <c r="T57" s="9" t="s">
        <v>552</v>
      </c>
    </row>
    <row r="58" spans="1:20" s="9" customFormat="1" ht="18" x14ac:dyDescent="0.25">
      <c r="A58" s="68" t="str">
        <f>IF(LEN(B57)=0,"",CONCATENATE('Ficha de desembarque'!$J$18,"_",'Ficha de desembarque'!$J$20,"_",DAY('Ficha de desembarque'!$J$16),MONTH('Ficha de desembarque'!$J$16),YEAR('Ficha de desembarque'!$J$16)))</f>
        <v/>
      </c>
      <c r="B58" s="22"/>
      <c r="C58" s="22"/>
      <c r="D58" s="22"/>
      <c r="E58" s="22"/>
      <c r="F58" s="22"/>
      <c r="G58" s="22"/>
      <c r="H58" s="22"/>
      <c r="I58" s="22"/>
      <c r="J58" s="22"/>
      <c r="K58" s="23"/>
      <c r="L58" s="34"/>
      <c r="N58" s="35">
        <f t="shared" si="0"/>
        <v>0</v>
      </c>
      <c r="O58" s="35">
        <f t="shared" si="1"/>
        <v>0</v>
      </c>
      <c r="S58" s="9">
        <v>57</v>
      </c>
      <c r="T58" s="9" t="s">
        <v>553</v>
      </c>
    </row>
    <row r="59" spans="1:20" s="9" customFormat="1" ht="18" x14ac:dyDescent="0.25">
      <c r="A59" s="69" t="str">
        <f>IF(LEN(B58)=0,"",CONCATENATE('Ficha de desembarque'!$J$18,"_",'Ficha de desembarque'!$J$20,"_",DAY('Ficha de desembarque'!$J$16),MONTH('Ficha de desembarque'!$J$16),YEAR('Ficha de desembarque'!$J$16)))</f>
        <v/>
      </c>
      <c r="B59" s="24"/>
      <c r="C59" s="24"/>
      <c r="D59" s="24"/>
      <c r="E59" s="24"/>
      <c r="F59" s="24"/>
      <c r="G59" s="24"/>
      <c r="H59" s="24"/>
      <c r="I59" s="24"/>
      <c r="J59" s="24"/>
      <c r="K59" s="25"/>
      <c r="L59" s="34"/>
      <c r="N59" s="35">
        <f t="shared" si="0"/>
        <v>0</v>
      </c>
      <c r="O59" s="35">
        <f t="shared" si="1"/>
        <v>0</v>
      </c>
      <c r="S59" s="9">
        <v>58</v>
      </c>
      <c r="T59" s="9" t="s">
        <v>554</v>
      </c>
    </row>
    <row r="60" spans="1:20" s="9" customFormat="1" ht="18" x14ac:dyDescent="0.25">
      <c r="A60" s="68" t="str">
        <f>IF(LEN(B59)=0,"",CONCATENATE('Ficha de desembarque'!$J$18,"_",'Ficha de desembarque'!$J$20,"_",DAY('Ficha de desembarque'!$J$16),MONTH('Ficha de desembarque'!$J$16),YEAR('Ficha de desembarque'!$J$16)))</f>
        <v/>
      </c>
      <c r="B60" s="22"/>
      <c r="C60" s="22"/>
      <c r="D60" s="22"/>
      <c r="E60" s="22"/>
      <c r="F60" s="22"/>
      <c r="G60" s="22"/>
      <c r="H60" s="22"/>
      <c r="I60" s="22"/>
      <c r="J60" s="22"/>
      <c r="K60" s="23"/>
      <c r="L60" s="34"/>
      <c r="N60" s="35">
        <f t="shared" si="0"/>
        <v>0</v>
      </c>
      <c r="O60" s="35">
        <f t="shared" si="1"/>
        <v>0</v>
      </c>
      <c r="S60" s="9">
        <v>59</v>
      </c>
      <c r="T60" s="9" t="s">
        <v>555</v>
      </c>
    </row>
    <row r="61" spans="1:20" s="9" customFormat="1" ht="18" x14ac:dyDescent="0.25">
      <c r="A61" s="69" t="str">
        <f>IF(LEN(B60)=0,"",CONCATENATE('Ficha de desembarque'!$J$18,"_",'Ficha de desembarque'!$J$20,"_",DAY('Ficha de desembarque'!$J$16),MONTH('Ficha de desembarque'!$J$16),YEAR('Ficha de desembarque'!$J$16)))</f>
        <v/>
      </c>
      <c r="B61" s="24"/>
      <c r="C61" s="24"/>
      <c r="D61" s="24"/>
      <c r="E61" s="24"/>
      <c r="F61" s="24"/>
      <c r="G61" s="24"/>
      <c r="H61" s="24"/>
      <c r="I61" s="24"/>
      <c r="J61" s="24"/>
      <c r="K61" s="25"/>
      <c r="L61" s="34"/>
      <c r="N61" s="35">
        <f t="shared" si="0"/>
        <v>0</v>
      </c>
      <c r="O61" s="35">
        <f t="shared" si="1"/>
        <v>0</v>
      </c>
      <c r="S61" s="9">
        <v>60</v>
      </c>
      <c r="T61" s="9" t="s">
        <v>556</v>
      </c>
    </row>
    <row r="62" spans="1:20" s="9" customFormat="1" ht="18" x14ac:dyDescent="0.25">
      <c r="A62" s="68" t="str">
        <f>IF(LEN(B61)=0,"",CONCATENATE('Ficha de desembarque'!$J$18,"_",'Ficha de desembarque'!$J$20,"_",DAY('Ficha de desembarque'!$J$16),MONTH('Ficha de desembarque'!$J$16),YEAR('Ficha de desembarque'!$J$16)))</f>
        <v/>
      </c>
      <c r="B62" s="22"/>
      <c r="C62" s="22"/>
      <c r="D62" s="22"/>
      <c r="E62" s="22"/>
      <c r="F62" s="22"/>
      <c r="G62" s="22"/>
      <c r="H62" s="22"/>
      <c r="I62" s="22"/>
      <c r="J62" s="22"/>
      <c r="K62" s="23"/>
      <c r="L62" s="34"/>
      <c r="N62" s="35">
        <f t="shared" si="0"/>
        <v>0</v>
      </c>
      <c r="O62" s="35">
        <f t="shared" si="1"/>
        <v>0</v>
      </c>
      <c r="S62" s="9">
        <v>61</v>
      </c>
      <c r="T62" s="9" t="s">
        <v>557</v>
      </c>
    </row>
    <row r="63" spans="1:20" s="9" customFormat="1" ht="18" x14ac:dyDescent="0.25">
      <c r="A63" s="69" t="str">
        <f>IF(LEN(B62)=0,"",CONCATENATE('Ficha de desembarque'!$J$18,"_",'Ficha de desembarque'!$J$20,"_",DAY('Ficha de desembarque'!$J$16),MONTH('Ficha de desembarque'!$J$16),YEAR('Ficha de desembarque'!$J$16)))</f>
        <v/>
      </c>
      <c r="B63" s="24"/>
      <c r="C63" s="24"/>
      <c r="D63" s="24"/>
      <c r="E63" s="24"/>
      <c r="F63" s="24"/>
      <c r="G63" s="24"/>
      <c r="H63" s="24"/>
      <c r="I63" s="24"/>
      <c r="J63" s="24"/>
      <c r="K63" s="25"/>
      <c r="L63" s="34"/>
      <c r="N63" s="35">
        <f t="shared" si="0"/>
        <v>0</v>
      </c>
      <c r="O63" s="35">
        <f t="shared" si="1"/>
        <v>0</v>
      </c>
      <c r="S63" s="9">
        <v>62</v>
      </c>
      <c r="T63" s="9" t="s">
        <v>558</v>
      </c>
    </row>
    <row r="64" spans="1:20" s="9" customFormat="1" ht="18" x14ac:dyDescent="0.25">
      <c r="A64" s="68" t="str">
        <f>IF(LEN(B63)=0,"",CONCATENATE('Ficha de desembarque'!$J$18,"_",'Ficha de desembarque'!$J$20,"_",DAY('Ficha de desembarque'!$J$16),MONTH('Ficha de desembarque'!$J$16),YEAR('Ficha de desembarque'!$J$16)))</f>
        <v/>
      </c>
      <c r="B64" s="22"/>
      <c r="C64" s="22"/>
      <c r="D64" s="22"/>
      <c r="E64" s="22"/>
      <c r="F64" s="22"/>
      <c r="G64" s="22"/>
      <c r="H64" s="22"/>
      <c r="I64" s="22"/>
      <c r="J64" s="22"/>
      <c r="K64" s="23"/>
      <c r="L64" s="34"/>
      <c r="N64" s="35">
        <f t="shared" si="0"/>
        <v>0</v>
      </c>
      <c r="O64" s="35">
        <f t="shared" si="1"/>
        <v>0</v>
      </c>
      <c r="S64" s="9">
        <v>63</v>
      </c>
      <c r="T64" s="9" t="s">
        <v>559</v>
      </c>
    </row>
    <row r="65" spans="1:20" s="9" customFormat="1" ht="18" x14ac:dyDescent="0.25">
      <c r="A65" s="69" t="str">
        <f>IF(LEN(B64)=0,"",CONCATENATE('Ficha de desembarque'!$J$18,"_",'Ficha de desembarque'!$J$20,"_",DAY('Ficha de desembarque'!$J$16),MONTH('Ficha de desembarque'!$J$16),YEAR('Ficha de desembarque'!$J$16)))</f>
        <v/>
      </c>
      <c r="B65" s="24"/>
      <c r="C65" s="24"/>
      <c r="D65" s="24"/>
      <c r="E65" s="24"/>
      <c r="F65" s="24"/>
      <c r="G65" s="24"/>
      <c r="H65" s="24"/>
      <c r="I65" s="24"/>
      <c r="J65" s="24"/>
      <c r="K65" s="25"/>
      <c r="L65" s="34"/>
      <c r="N65" s="35">
        <f t="shared" si="0"/>
        <v>0</v>
      </c>
      <c r="O65" s="35">
        <f t="shared" si="1"/>
        <v>0</v>
      </c>
      <c r="S65" s="9">
        <v>64</v>
      </c>
      <c r="T65" s="9" t="s">
        <v>560</v>
      </c>
    </row>
    <row r="66" spans="1:20" s="9" customFormat="1" ht="18" x14ac:dyDescent="0.25">
      <c r="A66" s="68" t="str">
        <f>IF(LEN(B65)=0,"",CONCATENATE('Ficha de desembarque'!$J$18,"_",'Ficha de desembarque'!$J$20,"_",DAY('Ficha de desembarque'!$J$16),MONTH('Ficha de desembarque'!$J$16),YEAR('Ficha de desembarque'!$J$16)))</f>
        <v/>
      </c>
      <c r="B66" s="22"/>
      <c r="C66" s="22"/>
      <c r="D66" s="22"/>
      <c r="E66" s="22"/>
      <c r="F66" s="22"/>
      <c r="G66" s="22"/>
      <c r="H66" s="22"/>
      <c r="I66" s="22"/>
      <c r="J66" s="22"/>
      <c r="K66" s="23"/>
      <c r="L66" s="34"/>
      <c r="N66" s="35">
        <f t="shared" si="0"/>
        <v>0</v>
      </c>
      <c r="O66" s="35">
        <f t="shared" si="1"/>
        <v>0</v>
      </c>
      <c r="S66" s="9">
        <v>65</v>
      </c>
      <c r="T66" s="9" t="s">
        <v>561</v>
      </c>
    </row>
    <row r="67" spans="1:20" s="9" customFormat="1" ht="18" x14ac:dyDescent="0.25">
      <c r="A67" s="69" t="str">
        <f>IF(LEN(B66)=0,"",CONCATENATE('Ficha de desembarque'!$J$18,"_",'Ficha de desembarque'!$J$20,"_",DAY('Ficha de desembarque'!$J$16),MONTH('Ficha de desembarque'!$J$16),YEAR('Ficha de desembarque'!$J$16)))</f>
        <v/>
      </c>
      <c r="B67" s="24"/>
      <c r="C67" s="24"/>
      <c r="D67" s="24"/>
      <c r="E67" s="24"/>
      <c r="F67" s="24"/>
      <c r="G67" s="24"/>
      <c r="H67" s="24"/>
      <c r="I67" s="24"/>
      <c r="J67" s="24"/>
      <c r="K67" s="25"/>
      <c r="L67" s="34"/>
      <c r="N67" s="35">
        <f t="shared" si="0"/>
        <v>0</v>
      </c>
      <c r="O67" s="35">
        <f t="shared" si="1"/>
        <v>0</v>
      </c>
      <c r="S67" s="9">
        <v>66</v>
      </c>
      <c r="T67" s="9" t="s">
        <v>562</v>
      </c>
    </row>
    <row r="68" spans="1:20" s="9" customFormat="1" ht="18" x14ac:dyDescent="0.25">
      <c r="A68" s="68" t="str">
        <f>IF(LEN(B67)=0,"",CONCATENATE('Ficha de desembarque'!$J$18,"_",'Ficha de desembarque'!$J$20,"_",DAY('Ficha de desembarque'!$J$16),MONTH('Ficha de desembarque'!$J$16),YEAR('Ficha de desembarque'!$J$16)))</f>
        <v/>
      </c>
      <c r="B68" s="22"/>
      <c r="C68" s="22"/>
      <c r="D68" s="22"/>
      <c r="E68" s="22"/>
      <c r="F68" s="22"/>
      <c r="G68" s="22"/>
      <c r="H68" s="22"/>
      <c r="I68" s="22"/>
      <c r="J68" s="22"/>
      <c r="K68" s="23"/>
      <c r="L68" s="34"/>
      <c r="N68" s="35">
        <f t="shared" si="0"/>
        <v>0</v>
      </c>
      <c r="O68" s="35">
        <f t="shared" si="1"/>
        <v>0</v>
      </c>
      <c r="S68" s="9">
        <v>67</v>
      </c>
      <c r="T68" s="9" t="s">
        <v>563</v>
      </c>
    </row>
    <row r="69" spans="1:20" s="9" customFormat="1" ht="18" x14ac:dyDescent="0.25">
      <c r="A69" s="69" t="str">
        <f>IF(LEN(B68)=0,"",CONCATENATE('Ficha de desembarque'!$J$18,"_",'Ficha de desembarque'!$J$20,"_",DAY('Ficha de desembarque'!$J$16),MONTH('Ficha de desembarque'!$J$16),YEAR('Ficha de desembarque'!$J$16)))</f>
        <v/>
      </c>
      <c r="B69" s="24"/>
      <c r="C69" s="24"/>
      <c r="D69" s="24"/>
      <c r="E69" s="24"/>
      <c r="F69" s="24"/>
      <c r="G69" s="24"/>
      <c r="H69" s="24"/>
      <c r="I69" s="24"/>
      <c r="J69" s="24"/>
      <c r="K69" s="25"/>
      <c r="L69" s="34"/>
      <c r="N69" s="35">
        <f t="shared" si="0"/>
        <v>0</v>
      </c>
      <c r="O69" s="35">
        <f t="shared" si="1"/>
        <v>0</v>
      </c>
      <c r="S69" s="9">
        <v>68</v>
      </c>
      <c r="T69" s="9" t="s">
        <v>564</v>
      </c>
    </row>
    <row r="70" spans="1:20" s="9" customFormat="1" ht="18" x14ac:dyDescent="0.25">
      <c r="A70" s="68" t="str">
        <f>IF(LEN(B69)=0,"",CONCATENATE('Ficha de desembarque'!$J$18,"_",'Ficha de desembarque'!$J$20,"_",DAY('Ficha de desembarque'!$J$16),MONTH('Ficha de desembarque'!$J$16),YEAR('Ficha de desembarque'!$J$16)))</f>
        <v/>
      </c>
      <c r="B70" s="22"/>
      <c r="C70" s="22"/>
      <c r="D70" s="22"/>
      <c r="E70" s="22"/>
      <c r="F70" s="22"/>
      <c r="G70" s="22"/>
      <c r="H70" s="22"/>
      <c r="I70" s="22"/>
      <c r="J70" s="22"/>
      <c r="K70" s="23"/>
      <c r="L70" s="34"/>
      <c r="N70" s="35">
        <f t="shared" si="0"/>
        <v>0</v>
      </c>
      <c r="O70" s="35">
        <f t="shared" si="1"/>
        <v>0</v>
      </c>
      <c r="S70" s="9">
        <v>69</v>
      </c>
      <c r="T70" s="9" t="s">
        <v>565</v>
      </c>
    </row>
    <row r="71" spans="1:20" s="9" customFormat="1" ht="18" x14ac:dyDescent="0.25">
      <c r="A71" s="69" t="str">
        <f>IF(LEN(B70)=0,"",CONCATENATE('Ficha de desembarque'!$J$18,"_",'Ficha de desembarque'!$J$20,"_",DAY('Ficha de desembarque'!$J$16),MONTH('Ficha de desembarque'!$J$16),YEAR('Ficha de desembarque'!$J$16)))</f>
        <v/>
      </c>
      <c r="B71" s="24"/>
      <c r="C71" s="24"/>
      <c r="D71" s="24"/>
      <c r="E71" s="24"/>
      <c r="F71" s="24"/>
      <c r="G71" s="24"/>
      <c r="H71" s="24"/>
      <c r="I71" s="24"/>
      <c r="J71" s="24"/>
      <c r="K71" s="25"/>
      <c r="L71" s="34"/>
      <c r="N71" s="35">
        <f t="shared" si="0"/>
        <v>0</v>
      </c>
      <c r="O71" s="35">
        <f t="shared" si="1"/>
        <v>0</v>
      </c>
      <c r="S71" s="9">
        <v>70</v>
      </c>
      <c r="T71" s="9" t="s">
        <v>566</v>
      </c>
    </row>
    <row r="72" spans="1:20" s="9" customFormat="1" ht="18" x14ac:dyDescent="0.25">
      <c r="A72" s="68" t="str">
        <f>IF(LEN(B71)=0,"",CONCATENATE('Ficha de desembarque'!$J$18,"_",'Ficha de desembarque'!$J$20,"_",DAY('Ficha de desembarque'!$J$16),MONTH('Ficha de desembarque'!$J$16),YEAR('Ficha de desembarque'!$J$16)))</f>
        <v/>
      </c>
      <c r="B72" s="22"/>
      <c r="C72" s="22"/>
      <c r="D72" s="22"/>
      <c r="E72" s="22"/>
      <c r="F72" s="22"/>
      <c r="G72" s="22"/>
      <c r="H72" s="22"/>
      <c r="I72" s="22"/>
      <c r="J72" s="22"/>
      <c r="K72" s="23"/>
      <c r="L72" s="34"/>
      <c r="N72" s="35">
        <f t="shared" si="0"/>
        <v>0</v>
      </c>
      <c r="O72" s="35">
        <f t="shared" si="1"/>
        <v>0</v>
      </c>
      <c r="S72" s="9">
        <v>71</v>
      </c>
      <c r="T72" s="9" t="s">
        <v>567</v>
      </c>
    </row>
    <row r="73" spans="1:20" s="9" customFormat="1" ht="18" x14ac:dyDescent="0.25">
      <c r="A73" s="69" t="str">
        <f>IF(LEN(B72)=0,"",CONCATENATE('Ficha de desembarque'!$J$18,"_",'Ficha de desembarque'!$J$20,"_",DAY('Ficha de desembarque'!$J$16),MONTH('Ficha de desembarque'!$J$16),YEAR('Ficha de desembarque'!$J$16)))</f>
        <v/>
      </c>
      <c r="B73" s="24"/>
      <c r="C73" s="24"/>
      <c r="D73" s="24"/>
      <c r="E73" s="24"/>
      <c r="F73" s="24"/>
      <c r="G73" s="24"/>
      <c r="H73" s="24"/>
      <c r="I73" s="24"/>
      <c r="J73" s="24"/>
      <c r="K73" s="25"/>
      <c r="L73" s="34"/>
      <c r="N73" s="35">
        <f t="shared" si="0"/>
        <v>0</v>
      </c>
      <c r="O73" s="35">
        <f t="shared" si="1"/>
        <v>0</v>
      </c>
      <c r="S73" s="9">
        <v>72</v>
      </c>
      <c r="T73" s="9" t="s">
        <v>568</v>
      </c>
    </row>
    <row r="74" spans="1:20" s="9" customFormat="1" ht="18" x14ac:dyDescent="0.25">
      <c r="A74" s="68" t="str">
        <f>IF(LEN(B73)=0,"",CONCATENATE('Ficha de desembarque'!$J$18,"_",'Ficha de desembarque'!$J$20,"_",DAY('Ficha de desembarque'!$J$16),MONTH('Ficha de desembarque'!$J$16),YEAR('Ficha de desembarque'!$J$16)))</f>
        <v/>
      </c>
      <c r="B74" s="22"/>
      <c r="C74" s="22"/>
      <c r="D74" s="22"/>
      <c r="E74" s="22"/>
      <c r="F74" s="22"/>
      <c r="G74" s="22"/>
      <c r="H74" s="22"/>
      <c r="I74" s="22"/>
      <c r="J74" s="22"/>
      <c r="K74" s="23"/>
      <c r="L74" s="34"/>
      <c r="N74" s="35">
        <f t="shared" si="0"/>
        <v>0</v>
      </c>
      <c r="O74" s="35">
        <f t="shared" si="1"/>
        <v>0</v>
      </c>
      <c r="S74" s="9">
        <v>73</v>
      </c>
      <c r="T74" s="9" t="s">
        <v>569</v>
      </c>
    </row>
    <row r="75" spans="1:20" s="9" customFormat="1" ht="18" x14ac:dyDescent="0.25">
      <c r="A75" s="69" t="str">
        <f>IF(LEN(B74)=0,"",CONCATENATE('Ficha de desembarque'!$J$18,"_",'Ficha de desembarque'!$J$20,"_",DAY('Ficha de desembarque'!$J$16),MONTH('Ficha de desembarque'!$J$16),YEAR('Ficha de desembarque'!$J$16)))</f>
        <v/>
      </c>
      <c r="B75" s="24"/>
      <c r="C75" s="24"/>
      <c r="D75" s="24"/>
      <c r="E75" s="24"/>
      <c r="F75" s="24"/>
      <c r="G75" s="24"/>
      <c r="H75" s="24"/>
      <c r="I75" s="24"/>
      <c r="J75" s="24"/>
      <c r="K75" s="25"/>
      <c r="L75" s="34"/>
      <c r="N75" s="35">
        <f t="shared" si="0"/>
        <v>0</v>
      </c>
      <c r="O75" s="35">
        <f t="shared" si="1"/>
        <v>0</v>
      </c>
      <c r="S75" s="9">
        <v>74</v>
      </c>
      <c r="T75" s="9" t="s">
        <v>570</v>
      </c>
    </row>
    <row r="76" spans="1:20" s="9" customFormat="1" ht="18" x14ac:dyDescent="0.25">
      <c r="A76" s="68" t="str">
        <f>IF(LEN(B75)=0,"",CONCATENATE('Ficha de desembarque'!$J$18,"_",'Ficha de desembarque'!$J$20,"_",DAY('Ficha de desembarque'!$J$16),MONTH('Ficha de desembarque'!$J$16),YEAR('Ficha de desembarque'!$J$16)))</f>
        <v/>
      </c>
      <c r="B76" s="22"/>
      <c r="C76" s="22"/>
      <c r="D76" s="22"/>
      <c r="E76" s="22"/>
      <c r="F76" s="22"/>
      <c r="G76" s="22"/>
      <c r="H76" s="22"/>
      <c r="I76" s="22"/>
      <c r="J76" s="22"/>
      <c r="K76" s="23"/>
      <c r="L76" s="34"/>
      <c r="N76" s="35">
        <f t="shared" ref="N76:N139" si="2">MAX(0,D76)</f>
        <v>0</v>
      </c>
      <c r="O76" s="35">
        <f t="shared" ref="O76:O139" si="3">MAX(0,F76)</f>
        <v>0</v>
      </c>
      <c r="S76" s="9">
        <v>75</v>
      </c>
      <c r="T76" s="9" t="s">
        <v>571</v>
      </c>
    </row>
    <row r="77" spans="1:20" s="9" customFormat="1" ht="18" x14ac:dyDescent="0.25">
      <c r="A77" s="69" t="str">
        <f>IF(LEN(B76)=0,"",CONCATENATE('Ficha de desembarque'!$J$18,"_",'Ficha de desembarque'!$J$20,"_",DAY('Ficha de desembarque'!$J$16),MONTH('Ficha de desembarque'!$J$16),YEAR('Ficha de desembarque'!$J$16)))</f>
        <v/>
      </c>
      <c r="B77" s="24"/>
      <c r="C77" s="24"/>
      <c r="D77" s="24"/>
      <c r="E77" s="24"/>
      <c r="F77" s="24"/>
      <c r="G77" s="24"/>
      <c r="H77" s="24"/>
      <c r="I77" s="24"/>
      <c r="J77" s="24"/>
      <c r="K77" s="25"/>
      <c r="L77" s="34"/>
      <c r="N77" s="35">
        <f t="shared" si="2"/>
        <v>0</v>
      </c>
      <c r="O77" s="35">
        <f t="shared" si="3"/>
        <v>0</v>
      </c>
      <c r="S77" s="9">
        <v>76</v>
      </c>
      <c r="T77" s="9" t="s">
        <v>572</v>
      </c>
    </row>
    <row r="78" spans="1:20" s="9" customFormat="1" ht="18" x14ac:dyDescent="0.25">
      <c r="A78" s="68" t="str">
        <f>IF(LEN(B77)=0,"",CONCATENATE('Ficha de desembarque'!$J$18,"_",'Ficha de desembarque'!$J$20,"_",DAY('Ficha de desembarque'!$J$16),MONTH('Ficha de desembarque'!$J$16),YEAR('Ficha de desembarque'!$J$16)))</f>
        <v/>
      </c>
      <c r="B78" s="22"/>
      <c r="C78" s="22"/>
      <c r="D78" s="22"/>
      <c r="E78" s="22"/>
      <c r="F78" s="22"/>
      <c r="G78" s="22"/>
      <c r="H78" s="22"/>
      <c r="I78" s="22"/>
      <c r="J78" s="22"/>
      <c r="K78" s="23"/>
      <c r="L78" s="34"/>
      <c r="N78" s="35">
        <f t="shared" si="2"/>
        <v>0</v>
      </c>
      <c r="O78" s="35">
        <f t="shared" si="3"/>
        <v>0</v>
      </c>
      <c r="S78" s="9">
        <v>77</v>
      </c>
      <c r="T78" s="9" t="s">
        <v>573</v>
      </c>
    </row>
    <row r="79" spans="1:20" s="9" customFormat="1" ht="18" x14ac:dyDescent="0.25">
      <c r="A79" s="69" t="str">
        <f>IF(LEN(B78)=0,"",CONCATENATE('Ficha de desembarque'!$J$18,"_",'Ficha de desembarque'!$J$20,"_",DAY('Ficha de desembarque'!$J$16),MONTH('Ficha de desembarque'!$J$16),YEAR('Ficha de desembarque'!$J$16)))</f>
        <v/>
      </c>
      <c r="B79" s="24"/>
      <c r="C79" s="24"/>
      <c r="D79" s="24"/>
      <c r="E79" s="24"/>
      <c r="F79" s="24"/>
      <c r="G79" s="24"/>
      <c r="H79" s="24"/>
      <c r="I79" s="24"/>
      <c r="J79" s="24"/>
      <c r="K79" s="25"/>
      <c r="L79" s="34"/>
      <c r="N79" s="35">
        <f t="shared" si="2"/>
        <v>0</v>
      </c>
      <c r="O79" s="35">
        <f t="shared" si="3"/>
        <v>0</v>
      </c>
      <c r="S79" s="9">
        <v>78</v>
      </c>
      <c r="T79" s="9" t="s">
        <v>574</v>
      </c>
    </row>
    <row r="80" spans="1:20" s="9" customFormat="1" ht="18" x14ac:dyDescent="0.25">
      <c r="A80" s="68" t="str">
        <f>IF(LEN(B79)=0,"",CONCATENATE('Ficha de desembarque'!$J$18,"_",'Ficha de desembarque'!$J$20,"_",DAY('Ficha de desembarque'!$J$16),MONTH('Ficha de desembarque'!$J$16),YEAR('Ficha de desembarque'!$J$16)))</f>
        <v/>
      </c>
      <c r="B80" s="22"/>
      <c r="C80" s="22"/>
      <c r="D80" s="22"/>
      <c r="E80" s="22"/>
      <c r="F80" s="22"/>
      <c r="G80" s="22"/>
      <c r="H80" s="22"/>
      <c r="I80" s="22"/>
      <c r="J80" s="22"/>
      <c r="K80" s="23"/>
      <c r="L80" s="34"/>
      <c r="N80" s="35">
        <f t="shared" si="2"/>
        <v>0</v>
      </c>
      <c r="O80" s="35">
        <f t="shared" si="3"/>
        <v>0</v>
      </c>
      <c r="S80" s="9">
        <v>79</v>
      </c>
      <c r="T80" s="9" t="s">
        <v>575</v>
      </c>
    </row>
    <row r="81" spans="1:20" s="9" customFormat="1" ht="18" x14ac:dyDescent="0.25">
      <c r="A81" s="69" t="str">
        <f>IF(LEN(B80)=0,"",CONCATENATE('Ficha de desembarque'!$J$18,"_",'Ficha de desembarque'!$J$20,"_",DAY('Ficha de desembarque'!$J$16),MONTH('Ficha de desembarque'!$J$16),YEAR('Ficha de desembarque'!$J$16)))</f>
        <v/>
      </c>
      <c r="B81" s="24"/>
      <c r="C81" s="24"/>
      <c r="D81" s="24"/>
      <c r="E81" s="24"/>
      <c r="F81" s="24"/>
      <c r="G81" s="24"/>
      <c r="H81" s="24"/>
      <c r="I81" s="24"/>
      <c r="J81" s="24"/>
      <c r="K81" s="25"/>
      <c r="L81" s="34"/>
      <c r="N81" s="35">
        <f t="shared" si="2"/>
        <v>0</v>
      </c>
      <c r="O81" s="35">
        <f t="shared" si="3"/>
        <v>0</v>
      </c>
      <c r="S81" s="9">
        <v>80</v>
      </c>
      <c r="T81" s="9" t="s">
        <v>576</v>
      </c>
    </row>
    <row r="82" spans="1:20" s="9" customFormat="1" ht="18" x14ac:dyDescent="0.25">
      <c r="A82" s="68" t="str">
        <f>IF(LEN(B81)=0,"",CONCATENATE('Ficha de desembarque'!$J$18,"_",'Ficha de desembarque'!$J$20,"_",DAY('Ficha de desembarque'!$J$16),MONTH('Ficha de desembarque'!$J$16),YEAR('Ficha de desembarque'!$J$16)))</f>
        <v/>
      </c>
      <c r="B82" s="22"/>
      <c r="C82" s="22"/>
      <c r="D82" s="22"/>
      <c r="E82" s="22"/>
      <c r="F82" s="22"/>
      <c r="G82" s="22"/>
      <c r="H82" s="22"/>
      <c r="I82" s="22"/>
      <c r="J82" s="22"/>
      <c r="K82" s="23"/>
      <c r="L82" s="34"/>
      <c r="N82" s="35">
        <f t="shared" si="2"/>
        <v>0</v>
      </c>
      <c r="O82" s="35">
        <f t="shared" si="3"/>
        <v>0</v>
      </c>
      <c r="S82" s="9">
        <v>81</v>
      </c>
      <c r="T82" s="9" t="s">
        <v>577</v>
      </c>
    </row>
    <row r="83" spans="1:20" s="9" customFormat="1" ht="18" x14ac:dyDescent="0.25">
      <c r="A83" s="69" t="str">
        <f>IF(LEN(B82)=0,"",CONCATENATE('Ficha de desembarque'!$J$18,"_",'Ficha de desembarque'!$J$20,"_",DAY('Ficha de desembarque'!$J$16),MONTH('Ficha de desembarque'!$J$16),YEAR('Ficha de desembarque'!$J$16)))</f>
        <v/>
      </c>
      <c r="B83" s="24"/>
      <c r="C83" s="24"/>
      <c r="D83" s="24"/>
      <c r="E83" s="24"/>
      <c r="F83" s="24"/>
      <c r="G83" s="24"/>
      <c r="H83" s="24"/>
      <c r="I83" s="24"/>
      <c r="J83" s="24"/>
      <c r="K83" s="25"/>
      <c r="L83" s="34"/>
      <c r="N83" s="35">
        <f t="shared" si="2"/>
        <v>0</v>
      </c>
      <c r="O83" s="35">
        <f t="shared" si="3"/>
        <v>0</v>
      </c>
      <c r="S83" s="9">
        <v>82</v>
      </c>
      <c r="T83" s="9" t="s">
        <v>578</v>
      </c>
    </row>
    <row r="84" spans="1:20" s="9" customFormat="1" ht="18" x14ac:dyDescent="0.25">
      <c r="A84" s="68" t="str">
        <f>IF(LEN(B83)=0,"",CONCATENATE('Ficha de desembarque'!$J$18,"_",'Ficha de desembarque'!$J$20,"_",DAY('Ficha de desembarque'!$J$16),MONTH('Ficha de desembarque'!$J$16),YEAR('Ficha de desembarque'!$J$16)))</f>
        <v/>
      </c>
      <c r="B84" s="22"/>
      <c r="C84" s="22"/>
      <c r="D84" s="22"/>
      <c r="E84" s="22"/>
      <c r="F84" s="22"/>
      <c r="G84" s="22"/>
      <c r="H84" s="22"/>
      <c r="I84" s="22"/>
      <c r="J84" s="22"/>
      <c r="K84" s="23"/>
      <c r="L84" s="34"/>
      <c r="N84" s="35">
        <f t="shared" si="2"/>
        <v>0</v>
      </c>
      <c r="O84" s="35">
        <f t="shared" si="3"/>
        <v>0</v>
      </c>
      <c r="S84" s="9">
        <v>83</v>
      </c>
      <c r="T84" s="9" t="s">
        <v>579</v>
      </c>
    </row>
    <row r="85" spans="1:20" s="9" customFormat="1" ht="18" x14ac:dyDescent="0.25">
      <c r="A85" s="69" t="str">
        <f>IF(LEN(B84)=0,"",CONCATENATE('Ficha de desembarque'!$J$18,"_",'Ficha de desembarque'!$J$20,"_",DAY('Ficha de desembarque'!$J$16),MONTH('Ficha de desembarque'!$J$16),YEAR('Ficha de desembarque'!$J$16)))</f>
        <v/>
      </c>
      <c r="B85" s="24"/>
      <c r="C85" s="24"/>
      <c r="D85" s="24"/>
      <c r="E85" s="24"/>
      <c r="F85" s="24"/>
      <c r="G85" s="24"/>
      <c r="H85" s="24"/>
      <c r="I85" s="24"/>
      <c r="J85" s="24"/>
      <c r="K85" s="25"/>
      <c r="L85" s="34"/>
      <c r="N85" s="35">
        <f t="shared" si="2"/>
        <v>0</v>
      </c>
      <c r="O85" s="35">
        <f t="shared" si="3"/>
        <v>0</v>
      </c>
      <c r="S85" s="9">
        <v>84</v>
      </c>
      <c r="T85" s="9" t="s">
        <v>580</v>
      </c>
    </row>
    <row r="86" spans="1:20" s="9" customFormat="1" ht="18" x14ac:dyDescent="0.25">
      <c r="A86" s="68" t="str">
        <f>IF(LEN(B85)=0,"",CONCATENATE('Ficha de desembarque'!$J$18,"_",'Ficha de desembarque'!$J$20,"_",DAY('Ficha de desembarque'!$J$16),MONTH('Ficha de desembarque'!$J$16),YEAR('Ficha de desembarque'!$J$16)))</f>
        <v/>
      </c>
      <c r="B86" s="22"/>
      <c r="C86" s="22"/>
      <c r="D86" s="22"/>
      <c r="E86" s="22"/>
      <c r="F86" s="22"/>
      <c r="G86" s="22"/>
      <c r="H86" s="22"/>
      <c r="I86" s="22"/>
      <c r="J86" s="22"/>
      <c r="K86" s="23"/>
      <c r="L86" s="34"/>
      <c r="N86" s="35">
        <f t="shared" si="2"/>
        <v>0</v>
      </c>
      <c r="O86" s="35">
        <f t="shared" si="3"/>
        <v>0</v>
      </c>
      <c r="S86" s="9">
        <v>85</v>
      </c>
      <c r="T86" s="9" t="s">
        <v>581</v>
      </c>
    </row>
    <row r="87" spans="1:20" s="9" customFormat="1" ht="18" x14ac:dyDescent="0.25">
      <c r="A87" s="69" t="str">
        <f>IF(LEN(B86)=0,"",CONCATENATE('Ficha de desembarque'!$J$18,"_",'Ficha de desembarque'!$J$20,"_",DAY('Ficha de desembarque'!$J$16),MONTH('Ficha de desembarque'!$J$16),YEAR('Ficha de desembarque'!$J$16)))</f>
        <v/>
      </c>
      <c r="B87" s="24"/>
      <c r="C87" s="24"/>
      <c r="D87" s="24"/>
      <c r="E87" s="24"/>
      <c r="F87" s="24"/>
      <c r="G87" s="24"/>
      <c r="H87" s="24"/>
      <c r="I87" s="24"/>
      <c r="J87" s="24"/>
      <c r="K87" s="25"/>
      <c r="L87" s="34"/>
      <c r="N87" s="35">
        <f t="shared" si="2"/>
        <v>0</v>
      </c>
      <c r="O87" s="35">
        <f t="shared" si="3"/>
        <v>0</v>
      </c>
      <c r="S87" s="9">
        <v>86</v>
      </c>
      <c r="T87" s="9" t="s">
        <v>582</v>
      </c>
    </row>
    <row r="88" spans="1:20" s="9" customFormat="1" ht="18" x14ac:dyDescent="0.25">
      <c r="A88" s="68" t="str">
        <f>IF(LEN(B87)=0,"",CONCATENATE('Ficha de desembarque'!$J$18,"_",'Ficha de desembarque'!$J$20,"_",DAY('Ficha de desembarque'!$J$16),MONTH('Ficha de desembarque'!$J$16),YEAR('Ficha de desembarque'!$J$16)))</f>
        <v/>
      </c>
      <c r="B88" s="22"/>
      <c r="C88" s="22"/>
      <c r="D88" s="22"/>
      <c r="E88" s="22"/>
      <c r="F88" s="22"/>
      <c r="G88" s="22"/>
      <c r="H88" s="22"/>
      <c r="I88" s="22"/>
      <c r="J88" s="22"/>
      <c r="K88" s="23"/>
      <c r="L88" s="34"/>
      <c r="N88" s="35">
        <f t="shared" si="2"/>
        <v>0</v>
      </c>
      <c r="O88" s="35">
        <f t="shared" si="3"/>
        <v>0</v>
      </c>
      <c r="S88" s="9">
        <v>87</v>
      </c>
      <c r="T88" s="9" t="s">
        <v>583</v>
      </c>
    </row>
    <row r="89" spans="1:20" s="9" customFormat="1" ht="18" x14ac:dyDescent="0.25">
      <c r="A89" s="69" t="str">
        <f>IF(LEN(B88)=0,"",CONCATENATE('Ficha de desembarque'!$J$18,"_",'Ficha de desembarque'!$J$20,"_",DAY('Ficha de desembarque'!$J$16),MONTH('Ficha de desembarque'!$J$16),YEAR('Ficha de desembarque'!$J$16)))</f>
        <v/>
      </c>
      <c r="B89" s="24"/>
      <c r="C89" s="24"/>
      <c r="D89" s="24"/>
      <c r="E89" s="24"/>
      <c r="F89" s="24"/>
      <c r="G89" s="24"/>
      <c r="H89" s="24"/>
      <c r="I89" s="24"/>
      <c r="J89" s="24"/>
      <c r="K89" s="25"/>
      <c r="L89" s="34"/>
      <c r="N89" s="35">
        <f t="shared" si="2"/>
        <v>0</v>
      </c>
      <c r="O89" s="35">
        <f t="shared" si="3"/>
        <v>0</v>
      </c>
      <c r="S89" s="9">
        <v>88</v>
      </c>
      <c r="T89" s="9" t="s">
        <v>584</v>
      </c>
    </row>
    <row r="90" spans="1:20" s="9" customFormat="1" ht="18" x14ac:dyDescent="0.25">
      <c r="A90" s="68" t="str">
        <f>IF(LEN(B89)=0,"",CONCATENATE('Ficha de desembarque'!$J$18,"_",'Ficha de desembarque'!$J$20,"_",DAY('Ficha de desembarque'!$J$16),MONTH('Ficha de desembarque'!$J$16),YEAR('Ficha de desembarque'!$J$16)))</f>
        <v/>
      </c>
      <c r="B90" s="22"/>
      <c r="C90" s="22"/>
      <c r="D90" s="22"/>
      <c r="E90" s="22"/>
      <c r="F90" s="22"/>
      <c r="G90" s="22"/>
      <c r="H90" s="22"/>
      <c r="I90" s="22"/>
      <c r="J90" s="22"/>
      <c r="K90" s="23"/>
      <c r="L90" s="34"/>
      <c r="N90" s="35">
        <f t="shared" si="2"/>
        <v>0</v>
      </c>
      <c r="O90" s="35">
        <f t="shared" si="3"/>
        <v>0</v>
      </c>
      <c r="S90" s="9">
        <v>89</v>
      </c>
      <c r="T90" s="9" t="s">
        <v>585</v>
      </c>
    </row>
    <row r="91" spans="1:20" s="9" customFormat="1" ht="18" x14ac:dyDescent="0.25">
      <c r="A91" s="69" t="str">
        <f>IF(LEN(B90)=0,"",CONCATENATE('Ficha de desembarque'!$J$18,"_",'Ficha de desembarque'!$J$20,"_",DAY('Ficha de desembarque'!$J$16),MONTH('Ficha de desembarque'!$J$16),YEAR('Ficha de desembarque'!$J$16)))</f>
        <v/>
      </c>
      <c r="B91" s="24"/>
      <c r="C91" s="24"/>
      <c r="D91" s="24"/>
      <c r="E91" s="24"/>
      <c r="F91" s="24"/>
      <c r="G91" s="24"/>
      <c r="H91" s="24"/>
      <c r="I91" s="24"/>
      <c r="J91" s="24"/>
      <c r="K91" s="25"/>
      <c r="L91" s="34"/>
      <c r="N91" s="35">
        <f t="shared" si="2"/>
        <v>0</v>
      </c>
      <c r="O91" s="35">
        <f t="shared" si="3"/>
        <v>0</v>
      </c>
      <c r="S91" s="9">
        <v>90</v>
      </c>
      <c r="T91" s="9" t="s">
        <v>586</v>
      </c>
    </row>
    <row r="92" spans="1:20" s="9" customFormat="1" ht="18" x14ac:dyDescent="0.25">
      <c r="A92" s="68" t="str">
        <f>IF(LEN(B91)=0,"",CONCATENATE('Ficha de desembarque'!$J$18,"_",'Ficha de desembarque'!$J$20,"_",DAY('Ficha de desembarque'!$J$16),MONTH('Ficha de desembarque'!$J$16),YEAR('Ficha de desembarque'!$J$16)))</f>
        <v/>
      </c>
      <c r="B92" s="22"/>
      <c r="C92" s="22"/>
      <c r="D92" s="22"/>
      <c r="E92" s="22"/>
      <c r="F92" s="22"/>
      <c r="G92" s="22"/>
      <c r="H92" s="22"/>
      <c r="I92" s="22"/>
      <c r="J92" s="22"/>
      <c r="K92" s="23"/>
      <c r="L92" s="34"/>
      <c r="N92" s="35">
        <f t="shared" si="2"/>
        <v>0</v>
      </c>
      <c r="O92" s="35">
        <f t="shared" si="3"/>
        <v>0</v>
      </c>
      <c r="S92" s="9">
        <v>91</v>
      </c>
      <c r="T92" s="9" t="s">
        <v>587</v>
      </c>
    </row>
    <row r="93" spans="1:20" s="9" customFormat="1" ht="18" x14ac:dyDescent="0.25">
      <c r="A93" s="69" t="str">
        <f>IF(LEN(B92)=0,"",CONCATENATE('Ficha de desembarque'!$J$18,"_",'Ficha de desembarque'!$J$20,"_",DAY('Ficha de desembarque'!$J$16),MONTH('Ficha de desembarque'!$J$16),YEAR('Ficha de desembarque'!$J$16)))</f>
        <v/>
      </c>
      <c r="B93" s="24"/>
      <c r="C93" s="24"/>
      <c r="D93" s="24"/>
      <c r="E93" s="24"/>
      <c r="F93" s="24"/>
      <c r="G93" s="24"/>
      <c r="H93" s="24"/>
      <c r="I93" s="24"/>
      <c r="J93" s="24"/>
      <c r="K93" s="25"/>
      <c r="L93" s="34"/>
      <c r="N93" s="35">
        <f t="shared" si="2"/>
        <v>0</v>
      </c>
      <c r="O93" s="35">
        <f t="shared" si="3"/>
        <v>0</v>
      </c>
      <c r="S93" s="9">
        <v>92</v>
      </c>
      <c r="T93" s="9" t="s">
        <v>588</v>
      </c>
    </row>
    <row r="94" spans="1:20" s="9" customFormat="1" ht="18" x14ac:dyDescent="0.25">
      <c r="A94" s="68" t="str">
        <f>IF(LEN(B93)=0,"",CONCATENATE('Ficha de desembarque'!$J$18,"_",'Ficha de desembarque'!$J$20,"_",DAY('Ficha de desembarque'!$J$16),MONTH('Ficha de desembarque'!$J$16),YEAR('Ficha de desembarque'!$J$16)))</f>
        <v/>
      </c>
      <c r="B94" s="22"/>
      <c r="C94" s="22"/>
      <c r="D94" s="22"/>
      <c r="E94" s="22"/>
      <c r="F94" s="22"/>
      <c r="G94" s="22"/>
      <c r="H94" s="22"/>
      <c r="I94" s="22"/>
      <c r="J94" s="22"/>
      <c r="K94" s="23"/>
      <c r="L94" s="34"/>
      <c r="N94" s="35">
        <f t="shared" si="2"/>
        <v>0</v>
      </c>
      <c r="O94" s="35">
        <f t="shared" si="3"/>
        <v>0</v>
      </c>
      <c r="S94" s="9">
        <v>93</v>
      </c>
      <c r="T94" s="9" t="s">
        <v>589</v>
      </c>
    </row>
    <row r="95" spans="1:20" s="9" customFormat="1" ht="18" x14ac:dyDescent="0.25">
      <c r="A95" s="69" t="str">
        <f>IF(LEN(B94)=0,"",CONCATENATE('Ficha de desembarque'!$J$18,"_",'Ficha de desembarque'!$J$20,"_",DAY('Ficha de desembarque'!$J$16),MONTH('Ficha de desembarque'!$J$16),YEAR('Ficha de desembarque'!$J$16)))</f>
        <v/>
      </c>
      <c r="B95" s="24"/>
      <c r="C95" s="24"/>
      <c r="D95" s="24"/>
      <c r="E95" s="24"/>
      <c r="F95" s="24"/>
      <c r="G95" s="24"/>
      <c r="H95" s="24"/>
      <c r="I95" s="24"/>
      <c r="J95" s="24"/>
      <c r="K95" s="25"/>
      <c r="L95" s="34"/>
      <c r="N95" s="35">
        <f t="shared" si="2"/>
        <v>0</v>
      </c>
      <c r="O95" s="35">
        <f t="shared" si="3"/>
        <v>0</v>
      </c>
      <c r="S95" s="9">
        <v>94</v>
      </c>
      <c r="T95" s="9" t="s">
        <v>590</v>
      </c>
    </row>
    <row r="96" spans="1:20" s="9" customFormat="1" ht="18" x14ac:dyDescent="0.25">
      <c r="A96" s="68" t="str">
        <f>IF(LEN(B95)=0,"",CONCATENATE('Ficha de desembarque'!$J$18,"_",'Ficha de desembarque'!$J$20,"_",DAY('Ficha de desembarque'!$J$16),MONTH('Ficha de desembarque'!$J$16),YEAR('Ficha de desembarque'!$J$16)))</f>
        <v/>
      </c>
      <c r="B96" s="22"/>
      <c r="C96" s="22"/>
      <c r="D96" s="22"/>
      <c r="E96" s="22"/>
      <c r="F96" s="22"/>
      <c r="G96" s="22"/>
      <c r="H96" s="22"/>
      <c r="I96" s="22"/>
      <c r="J96" s="22"/>
      <c r="K96" s="23"/>
      <c r="L96" s="34"/>
      <c r="N96" s="35">
        <f t="shared" si="2"/>
        <v>0</v>
      </c>
      <c r="O96" s="35">
        <f t="shared" si="3"/>
        <v>0</v>
      </c>
      <c r="S96" s="9">
        <v>95</v>
      </c>
      <c r="T96" s="9" t="s">
        <v>591</v>
      </c>
    </row>
    <row r="97" spans="1:20" s="9" customFormat="1" ht="18" x14ac:dyDescent="0.25">
      <c r="A97" s="69" t="str">
        <f>IF(LEN(B96)=0,"",CONCATENATE('Ficha de desembarque'!$J$18,"_",'Ficha de desembarque'!$J$20,"_",DAY('Ficha de desembarque'!$J$16),MONTH('Ficha de desembarque'!$J$16),YEAR('Ficha de desembarque'!$J$16)))</f>
        <v/>
      </c>
      <c r="B97" s="24"/>
      <c r="C97" s="24"/>
      <c r="D97" s="24"/>
      <c r="E97" s="24"/>
      <c r="F97" s="24"/>
      <c r="G97" s="24"/>
      <c r="H97" s="24"/>
      <c r="I97" s="24"/>
      <c r="J97" s="24"/>
      <c r="K97" s="25"/>
      <c r="L97" s="34"/>
      <c r="N97" s="35">
        <f t="shared" si="2"/>
        <v>0</v>
      </c>
      <c r="O97" s="35">
        <f t="shared" si="3"/>
        <v>0</v>
      </c>
      <c r="S97" s="9">
        <v>96</v>
      </c>
      <c r="T97" s="9" t="s">
        <v>592</v>
      </c>
    </row>
    <row r="98" spans="1:20" s="9" customFormat="1" ht="18" x14ac:dyDescent="0.25">
      <c r="A98" s="68" t="str">
        <f>IF(LEN(B97)=0,"",CONCATENATE('Ficha de desembarque'!$J$18,"_",'Ficha de desembarque'!$J$20,"_",DAY('Ficha de desembarque'!$J$16),MONTH('Ficha de desembarque'!$J$16),YEAR('Ficha de desembarque'!$J$16)))</f>
        <v/>
      </c>
      <c r="B98" s="22"/>
      <c r="C98" s="22"/>
      <c r="D98" s="22"/>
      <c r="E98" s="22"/>
      <c r="F98" s="22"/>
      <c r="G98" s="22"/>
      <c r="H98" s="22"/>
      <c r="I98" s="22"/>
      <c r="J98" s="22"/>
      <c r="K98" s="23"/>
      <c r="L98" s="34"/>
      <c r="N98" s="35">
        <f t="shared" si="2"/>
        <v>0</v>
      </c>
      <c r="O98" s="35">
        <f t="shared" si="3"/>
        <v>0</v>
      </c>
      <c r="S98" s="9">
        <v>97</v>
      </c>
      <c r="T98" s="9" t="s">
        <v>593</v>
      </c>
    </row>
    <row r="99" spans="1:20" s="9" customFormat="1" ht="18" x14ac:dyDescent="0.25">
      <c r="A99" s="69" t="str">
        <f>IF(LEN(B98)=0,"",CONCATENATE('Ficha de desembarque'!$J$18,"_",'Ficha de desembarque'!$J$20,"_",DAY('Ficha de desembarque'!$J$16),MONTH('Ficha de desembarque'!$J$16),YEAR('Ficha de desembarque'!$J$16)))</f>
        <v/>
      </c>
      <c r="B99" s="24"/>
      <c r="C99" s="24"/>
      <c r="D99" s="24"/>
      <c r="E99" s="24"/>
      <c r="F99" s="24"/>
      <c r="G99" s="24"/>
      <c r="H99" s="24"/>
      <c r="I99" s="24"/>
      <c r="J99" s="24"/>
      <c r="K99" s="25"/>
      <c r="L99" s="34"/>
      <c r="N99" s="35">
        <f t="shared" si="2"/>
        <v>0</v>
      </c>
      <c r="O99" s="35">
        <f t="shared" si="3"/>
        <v>0</v>
      </c>
      <c r="S99" s="9">
        <v>98</v>
      </c>
      <c r="T99" s="9" t="s">
        <v>594</v>
      </c>
    </row>
    <row r="100" spans="1:20" s="9" customFormat="1" ht="18" x14ac:dyDescent="0.25">
      <c r="A100" s="68" t="str">
        <f>IF(LEN(B99)=0,"",CONCATENATE('Ficha de desembarque'!$J$18,"_",'Ficha de desembarque'!$J$20,"_",DAY('Ficha de desembarque'!$J$16),MONTH('Ficha de desembarque'!$J$16),YEAR('Ficha de desembarque'!$J$16)))</f>
        <v/>
      </c>
      <c r="B100" s="22"/>
      <c r="C100" s="22"/>
      <c r="D100" s="22"/>
      <c r="E100" s="22"/>
      <c r="F100" s="22"/>
      <c r="G100" s="22"/>
      <c r="H100" s="22"/>
      <c r="I100" s="22"/>
      <c r="J100" s="22"/>
      <c r="K100" s="23"/>
      <c r="L100" s="34"/>
      <c r="N100" s="35">
        <f t="shared" si="2"/>
        <v>0</v>
      </c>
      <c r="O100" s="35">
        <f t="shared" si="3"/>
        <v>0</v>
      </c>
      <c r="S100" s="9">
        <v>99</v>
      </c>
      <c r="T100" s="9" t="s">
        <v>595</v>
      </c>
    </row>
    <row r="101" spans="1:20" s="9" customFormat="1" ht="18" x14ac:dyDescent="0.25">
      <c r="A101" s="69" t="str">
        <f>IF(LEN(B100)=0,"",CONCATENATE('Ficha de desembarque'!$J$18,"_",'Ficha de desembarque'!$J$20,"_",DAY('Ficha de desembarque'!$J$16),MONTH('Ficha de desembarque'!$J$16),YEAR('Ficha de desembarque'!$J$16)))</f>
        <v/>
      </c>
      <c r="B101" s="24"/>
      <c r="C101" s="24"/>
      <c r="D101" s="24"/>
      <c r="E101" s="24"/>
      <c r="F101" s="24"/>
      <c r="G101" s="24"/>
      <c r="H101" s="24"/>
      <c r="I101" s="24"/>
      <c r="J101" s="24"/>
      <c r="K101" s="25"/>
      <c r="L101" s="34"/>
      <c r="N101" s="35">
        <f t="shared" si="2"/>
        <v>0</v>
      </c>
      <c r="O101" s="35">
        <f t="shared" si="3"/>
        <v>0</v>
      </c>
      <c r="S101" s="9">
        <v>100</v>
      </c>
      <c r="T101" s="9" t="s">
        <v>596</v>
      </c>
    </row>
    <row r="102" spans="1:20" s="9" customFormat="1" ht="18" x14ac:dyDescent="0.25">
      <c r="A102" s="68" t="str">
        <f>IF(LEN(B101)=0,"",CONCATENATE('Ficha de desembarque'!$J$18,"_",'Ficha de desembarque'!$J$20,"_",DAY('Ficha de desembarque'!$J$16),MONTH('Ficha de desembarque'!$J$16),YEAR('Ficha de desembarque'!$J$16)))</f>
        <v/>
      </c>
      <c r="B102" s="22"/>
      <c r="C102" s="22"/>
      <c r="D102" s="22"/>
      <c r="E102" s="22"/>
      <c r="F102" s="22"/>
      <c r="G102" s="22"/>
      <c r="H102" s="22"/>
      <c r="I102" s="22"/>
      <c r="J102" s="22"/>
      <c r="K102" s="23"/>
      <c r="L102" s="34"/>
      <c r="N102" s="35">
        <f t="shared" si="2"/>
        <v>0</v>
      </c>
      <c r="O102" s="35">
        <f t="shared" si="3"/>
        <v>0</v>
      </c>
      <c r="S102" s="9">
        <v>101</v>
      </c>
      <c r="T102" s="9" t="s">
        <v>597</v>
      </c>
    </row>
    <row r="103" spans="1:20" s="9" customFormat="1" ht="18" x14ac:dyDescent="0.25">
      <c r="A103" s="69" t="str">
        <f>IF(LEN(B102)=0,"",CONCATENATE('Ficha de desembarque'!$J$18,"_",'Ficha de desembarque'!$J$20,"_",DAY('Ficha de desembarque'!$J$16),MONTH('Ficha de desembarque'!$J$16),YEAR('Ficha de desembarque'!$J$16)))</f>
        <v/>
      </c>
      <c r="B103" s="24"/>
      <c r="C103" s="24"/>
      <c r="D103" s="24"/>
      <c r="E103" s="24"/>
      <c r="F103" s="24"/>
      <c r="G103" s="24"/>
      <c r="H103" s="24"/>
      <c r="I103" s="24"/>
      <c r="J103" s="24"/>
      <c r="K103" s="25"/>
      <c r="L103" s="34"/>
      <c r="N103" s="35">
        <f t="shared" si="2"/>
        <v>0</v>
      </c>
      <c r="O103" s="35">
        <f t="shared" si="3"/>
        <v>0</v>
      </c>
      <c r="S103" s="9">
        <v>102</v>
      </c>
      <c r="T103" s="9" t="s">
        <v>598</v>
      </c>
    </row>
    <row r="104" spans="1:20" s="9" customFormat="1" ht="18" x14ac:dyDescent="0.25">
      <c r="A104" s="68" t="str">
        <f>IF(LEN(B103)=0,"",CONCATENATE('Ficha de desembarque'!$J$18,"_",'Ficha de desembarque'!$J$20,"_",DAY('Ficha de desembarque'!$J$16),MONTH('Ficha de desembarque'!$J$16),YEAR('Ficha de desembarque'!$J$16)))</f>
        <v/>
      </c>
      <c r="B104" s="22"/>
      <c r="C104" s="22"/>
      <c r="D104" s="22"/>
      <c r="E104" s="22"/>
      <c r="F104" s="22"/>
      <c r="G104" s="22"/>
      <c r="H104" s="22"/>
      <c r="I104" s="22"/>
      <c r="J104" s="22"/>
      <c r="K104" s="23"/>
      <c r="L104" s="34"/>
      <c r="N104" s="35">
        <f t="shared" si="2"/>
        <v>0</v>
      </c>
      <c r="O104" s="35">
        <f t="shared" si="3"/>
        <v>0</v>
      </c>
      <c r="S104" s="9">
        <v>103</v>
      </c>
      <c r="T104" s="9" t="s">
        <v>599</v>
      </c>
    </row>
    <row r="105" spans="1:20" s="9" customFormat="1" ht="18" x14ac:dyDescent="0.25">
      <c r="A105" s="69" t="str">
        <f>IF(LEN(B104)=0,"",CONCATENATE('Ficha de desembarque'!$J$18,"_",'Ficha de desembarque'!$J$20,"_",DAY('Ficha de desembarque'!$J$16),MONTH('Ficha de desembarque'!$J$16),YEAR('Ficha de desembarque'!$J$16)))</f>
        <v/>
      </c>
      <c r="B105" s="24"/>
      <c r="C105" s="24"/>
      <c r="D105" s="24"/>
      <c r="E105" s="24"/>
      <c r="F105" s="24"/>
      <c r="G105" s="24"/>
      <c r="H105" s="24"/>
      <c r="I105" s="24"/>
      <c r="J105" s="24"/>
      <c r="K105" s="25"/>
      <c r="L105" s="34"/>
      <c r="N105" s="35">
        <f t="shared" si="2"/>
        <v>0</v>
      </c>
      <c r="O105" s="35">
        <f t="shared" si="3"/>
        <v>0</v>
      </c>
      <c r="S105" s="9">
        <v>104</v>
      </c>
      <c r="T105" s="9" t="s">
        <v>600</v>
      </c>
    </row>
    <row r="106" spans="1:20" s="9" customFormat="1" ht="18" x14ac:dyDescent="0.25">
      <c r="A106" s="68" t="str">
        <f>IF(LEN(B105)=0,"",CONCATENATE('Ficha de desembarque'!$J$18,"_",'Ficha de desembarque'!$J$20,"_",DAY('Ficha de desembarque'!$J$16),MONTH('Ficha de desembarque'!$J$16),YEAR('Ficha de desembarque'!$J$16)))</f>
        <v/>
      </c>
      <c r="B106" s="22"/>
      <c r="C106" s="22"/>
      <c r="D106" s="22"/>
      <c r="E106" s="22"/>
      <c r="F106" s="22"/>
      <c r="G106" s="22"/>
      <c r="H106" s="22"/>
      <c r="I106" s="22"/>
      <c r="J106" s="22"/>
      <c r="K106" s="23"/>
      <c r="L106" s="34"/>
      <c r="N106" s="35">
        <f t="shared" si="2"/>
        <v>0</v>
      </c>
      <c r="O106" s="35">
        <f t="shared" si="3"/>
        <v>0</v>
      </c>
      <c r="S106" s="9">
        <v>105</v>
      </c>
      <c r="T106" s="9" t="s">
        <v>601</v>
      </c>
    </row>
    <row r="107" spans="1:20" s="9" customFormat="1" ht="18" x14ac:dyDescent="0.25">
      <c r="A107" s="69" t="str">
        <f>IF(LEN(B106)=0,"",CONCATENATE('Ficha de desembarque'!$J$18,"_",'Ficha de desembarque'!$J$20,"_",DAY('Ficha de desembarque'!$J$16),MONTH('Ficha de desembarque'!$J$16),YEAR('Ficha de desembarque'!$J$16)))</f>
        <v/>
      </c>
      <c r="B107" s="24"/>
      <c r="C107" s="24"/>
      <c r="D107" s="24"/>
      <c r="E107" s="24"/>
      <c r="F107" s="24"/>
      <c r="G107" s="24"/>
      <c r="H107" s="24"/>
      <c r="I107" s="24"/>
      <c r="J107" s="24"/>
      <c r="K107" s="25"/>
      <c r="L107" s="34"/>
      <c r="N107" s="35">
        <f t="shared" si="2"/>
        <v>0</v>
      </c>
      <c r="O107" s="35">
        <f t="shared" si="3"/>
        <v>0</v>
      </c>
      <c r="S107" s="9">
        <v>106</v>
      </c>
      <c r="T107" s="9" t="s">
        <v>602</v>
      </c>
    </row>
    <row r="108" spans="1:20" s="9" customFormat="1" ht="18" x14ac:dyDescent="0.25">
      <c r="A108" s="68" t="str">
        <f>IF(LEN(B107)=0,"",CONCATENATE('Ficha de desembarque'!$J$18,"_",'Ficha de desembarque'!$J$20,"_",DAY('Ficha de desembarque'!$J$16),MONTH('Ficha de desembarque'!$J$16),YEAR('Ficha de desembarque'!$J$16)))</f>
        <v/>
      </c>
      <c r="B108" s="22"/>
      <c r="C108" s="22"/>
      <c r="D108" s="22"/>
      <c r="E108" s="22"/>
      <c r="F108" s="22"/>
      <c r="G108" s="22"/>
      <c r="H108" s="22"/>
      <c r="I108" s="22"/>
      <c r="J108" s="22"/>
      <c r="K108" s="23"/>
      <c r="L108" s="34"/>
      <c r="N108" s="35">
        <f t="shared" si="2"/>
        <v>0</v>
      </c>
      <c r="O108" s="35">
        <f t="shared" si="3"/>
        <v>0</v>
      </c>
      <c r="S108" s="9">
        <v>107</v>
      </c>
      <c r="T108" s="9" t="s">
        <v>603</v>
      </c>
    </row>
    <row r="109" spans="1:20" s="9" customFormat="1" ht="18" x14ac:dyDescent="0.25">
      <c r="A109" s="69" t="str">
        <f>IF(LEN(B108)=0,"",CONCATENATE('Ficha de desembarque'!$J$18,"_",'Ficha de desembarque'!$J$20,"_",DAY('Ficha de desembarque'!$J$16),MONTH('Ficha de desembarque'!$J$16),YEAR('Ficha de desembarque'!$J$16)))</f>
        <v/>
      </c>
      <c r="B109" s="24"/>
      <c r="C109" s="24"/>
      <c r="D109" s="24"/>
      <c r="E109" s="24"/>
      <c r="F109" s="24"/>
      <c r="G109" s="24"/>
      <c r="H109" s="24"/>
      <c r="I109" s="24"/>
      <c r="J109" s="24"/>
      <c r="K109" s="25"/>
      <c r="L109" s="34"/>
      <c r="N109" s="35">
        <f t="shared" si="2"/>
        <v>0</v>
      </c>
      <c r="O109" s="35">
        <f t="shared" si="3"/>
        <v>0</v>
      </c>
      <c r="S109" s="9">
        <v>108</v>
      </c>
      <c r="T109" s="9" t="s">
        <v>604</v>
      </c>
    </row>
    <row r="110" spans="1:20" s="9" customFormat="1" ht="18" x14ac:dyDescent="0.25">
      <c r="A110" s="68" t="str">
        <f>IF(LEN(B109)=0,"",CONCATENATE('Ficha de desembarque'!$J$18,"_",'Ficha de desembarque'!$J$20,"_",DAY('Ficha de desembarque'!$J$16),MONTH('Ficha de desembarque'!$J$16),YEAR('Ficha de desembarque'!$J$16)))</f>
        <v/>
      </c>
      <c r="B110" s="22"/>
      <c r="C110" s="22"/>
      <c r="D110" s="22"/>
      <c r="E110" s="22"/>
      <c r="F110" s="22"/>
      <c r="G110" s="22"/>
      <c r="H110" s="22"/>
      <c r="I110" s="22"/>
      <c r="J110" s="22"/>
      <c r="K110" s="23"/>
      <c r="L110" s="34"/>
      <c r="N110" s="35">
        <f t="shared" si="2"/>
        <v>0</v>
      </c>
      <c r="O110" s="35">
        <f t="shared" si="3"/>
        <v>0</v>
      </c>
      <c r="S110" s="9">
        <v>109</v>
      </c>
      <c r="T110" s="9" t="s">
        <v>605</v>
      </c>
    </row>
    <row r="111" spans="1:20" s="9" customFormat="1" ht="18" x14ac:dyDescent="0.25">
      <c r="A111" s="69" t="str">
        <f>IF(LEN(B110)=0,"",CONCATENATE('Ficha de desembarque'!$J$18,"_",'Ficha de desembarque'!$J$20,"_",DAY('Ficha de desembarque'!$J$16),MONTH('Ficha de desembarque'!$J$16),YEAR('Ficha de desembarque'!$J$16)))</f>
        <v/>
      </c>
      <c r="B111" s="24"/>
      <c r="C111" s="24"/>
      <c r="D111" s="24"/>
      <c r="E111" s="24"/>
      <c r="F111" s="24"/>
      <c r="G111" s="24"/>
      <c r="H111" s="24"/>
      <c r="I111" s="24"/>
      <c r="J111" s="24"/>
      <c r="K111" s="25"/>
      <c r="L111" s="34"/>
      <c r="N111" s="35">
        <f t="shared" si="2"/>
        <v>0</v>
      </c>
      <c r="O111" s="35">
        <f t="shared" si="3"/>
        <v>0</v>
      </c>
      <c r="S111" s="9">
        <v>110</v>
      </c>
      <c r="T111" s="9" t="s">
        <v>606</v>
      </c>
    </row>
    <row r="112" spans="1:20" s="9" customFormat="1" ht="18" x14ac:dyDescent="0.25">
      <c r="A112" s="68" t="str">
        <f>IF(LEN(B111)=0,"",CONCATENATE('Ficha de desembarque'!$J$18,"_",'Ficha de desembarque'!$J$20,"_",DAY('Ficha de desembarque'!$J$16),MONTH('Ficha de desembarque'!$J$16),YEAR('Ficha de desembarque'!$J$16)))</f>
        <v/>
      </c>
      <c r="B112" s="22"/>
      <c r="C112" s="22"/>
      <c r="D112" s="22"/>
      <c r="E112" s="22"/>
      <c r="F112" s="22"/>
      <c r="G112" s="22"/>
      <c r="H112" s="22"/>
      <c r="I112" s="22"/>
      <c r="J112" s="22"/>
      <c r="K112" s="23"/>
      <c r="L112" s="34"/>
      <c r="N112" s="35">
        <f t="shared" si="2"/>
        <v>0</v>
      </c>
      <c r="O112" s="35">
        <f t="shared" si="3"/>
        <v>0</v>
      </c>
      <c r="S112" s="9">
        <v>111</v>
      </c>
      <c r="T112" s="9" t="s">
        <v>607</v>
      </c>
    </row>
    <row r="113" spans="1:20" s="9" customFormat="1" ht="18" x14ac:dyDescent="0.25">
      <c r="A113" s="69" t="str">
        <f>IF(LEN(B112)=0,"",CONCATENATE('Ficha de desembarque'!$J$18,"_",'Ficha de desembarque'!$J$20,"_",DAY('Ficha de desembarque'!$J$16),MONTH('Ficha de desembarque'!$J$16),YEAR('Ficha de desembarque'!$J$16)))</f>
        <v/>
      </c>
      <c r="B113" s="24"/>
      <c r="C113" s="24"/>
      <c r="D113" s="24"/>
      <c r="E113" s="24"/>
      <c r="F113" s="24"/>
      <c r="G113" s="24"/>
      <c r="H113" s="24"/>
      <c r="I113" s="24"/>
      <c r="J113" s="24"/>
      <c r="K113" s="25"/>
      <c r="L113" s="34"/>
      <c r="N113" s="35">
        <f t="shared" si="2"/>
        <v>0</v>
      </c>
      <c r="O113" s="35">
        <f t="shared" si="3"/>
        <v>0</v>
      </c>
      <c r="S113" s="9">
        <v>112</v>
      </c>
      <c r="T113" s="9" t="s">
        <v>608</v>
      </c>
    </row>
    <row r="114" spans="1:20" s="9" customFormat="1" ht="18" x14ac:dyDescent="0.25">
      <c r="A114" s="68" t="str">
        <f>IF(LEN(B113)=0,"",CONCATENATE('Ficha de desembarque'!$J$18,"_",'Ficha de desembarque'!$J$20,"_",DAY('Ficha de desembarque'!$J$16),MONTH('Ficha de desembarque'!$J$16),YEAR('Ficha de desembarque'!$J$16)))</f>
        <v/>
      </c>
      <c r="B114" s="22"/>
      <c r="C114" s="22"/>
      <c r="D114" s="22"/>
      <c r="E114" s="22"/>
      <c r="F114" s="22"/>
      <c r="G114" s="22"/>
      <c r="H114" s="22"/>
      <c r="I114" s="22"/>
      <c r="J114" s="22"/>
      <c r="K114" s="23"/>
      <c r="L114" s="34"/>
      <c r="N114" s="35">
        <f t="shared" si="2"/>
        <v>0</v>
      </c>
      <c r="O114" s="35">
        <f t="shared" si="3"/>
        <v>0</v>
      </c>
      <c r="S114" s="9">
        <v>113</v>
      </c>
      <c r="T114" s="9" t="s">
        <v>609</v>
      </c>
    </row>
    <row r="115" spans="1:20" s="9" customFormat="1" ht="18" x14ac:dyDescent="0.25">
      <c r="A115" s="69" t="str">
        <f>IF(LEN(B114)=0,"",CONCATENATE('Ficha de desembarque'!$J$18,"_",'Ficha de desembarque'!$J$20,"_",DAY('Ficha de desembarque'!$J$16),MONTH('Ficha de desembarque'!$J$16),YEAR('Ficha de desembarque'!$J$16)))</f>
        <v/>
      </c>
      <c r="B115" s="24"/>
      <c r="C115" s="24"/>
      <c r="D115" s="24"/>
      <c r="E115" s="24"/>
      <c r="F115" s="24"/>
      <c r="G115" s="24"/>
      <c r="H115" s="24"/>
      <c r="I115" s="24"/>
      <c r="J115" s="24"/>
      <c r="K115" s="25"/>
      <c r="L115" s="34"/>
      <c r="N115" s="35">
        <f t="shared" si="2"/>
        <v>0</v>
      </c>
      <c r="O115" s="35">
        <f t="shared" si="3"/>
        <v>0</v>
      </c>
      <c r="S115" s="9">
        <v>114</v>
      </c>
      <c r="T115" s="9" t="s">
        <v>610</v>
      </c>
    </row>
    <row r="116" spans="1:20" s="9" customFormat="1" ht="18" x14ac:dyDescent="0.25">
      <c r="A116" s="68" t="str">
        <f>IF(LEN(B115)=0,"",CONCATENATE('Ficha de desembarque'!$J$18,"_",'Ficha de desembarque'!$J$20,"_",DAY('Ficha de desembarque'!$J$16),MONTH('Ficha de desembarque'!$J$16),YEAR('Ficha de desembarque'!$J$16)))</f>
        <v/>
      </c>
      <c r="B116" s="22"/>
      <c r="C116" s="22"/>
      <c r="D116" s="22"/>
      <c r="E116" s="22"/>
      <c r="F116" s="22"/>
      <c r="G116" s="22"/>
      <c r="H116" s="22"/>
      <c r="I116" s="22"/>
      <c r="J116" s="22"/>
      <c r="K116" s="23"/>
      <c r="L116" s="34"/>
      <c r="N116" s="35">
        <f t="shared" si="2"/>
        <v>0</v>
      </c>
      <c r="O116" s="35">
        <f t="shared" si="3"/>
        <v>0</v>
      </c>
      <c r="S116" s="9">
        <v>115</v>
      </c>
      <c r="T116" s="9" t="s">
        <v>611</v>
      </c>
    </row>
    <row r="117" spans="1:20" s="9" customFormat="1" ht="18" x14ac:dyDescent="0.25">
      <c r="A117" s="69" t="str">
        <f>IF(LEN(B116)=0,"",CONCATENATE('Ficha de desembarque'!$J$18,"_",'Ficha de desembarque'!$J$20,"_",DAY('Ficha de desembarque'!$J$16),MONTH('Ficha de desembarque'!$J$16),YEAR('Ficha de desembarque'!$J$16)))</f>
        <v/>
      </c>
      <c r="B117" s="24"/>
      <c r="C117" s="24"/>
      <c r="D117" s="24"/>
      <c r="E117" s="24"/>
      <c r="F117" s="24"/>
      <c r="G117" s="24"/>
      <c r="H117" s="24"/>
      <c r="I117" s="24"/>
      <c r="J117" s="24"/>
      <c r="K117" s="25"/>
      <c r="L117" s="34"/>
      <c r="N117" s="35">
        <f t="shared" si="2"/>
        <v>0</v>
      </c>
      <c r="O117" s="35">
        <f t="shared" si="3"/>
        <v>0</v>
      </c>
      <c r="S117" s="9">
        <v>116</v>
      </c>
      <c r="T117" s="9" t="s">
        <v>612</v>
      </c>
    </row>
    <row r="118" spans="1:20" s="9" customFormat="1" ht="18" x14ac:dyDescent="0.25">
      <c r="A118" s="68" t="str">
        <f>IF(LEN(B117)=0,"",CONCATENATE('Ficha de desembarque'!$J$18,"_",'Ficha de desembarque'!$J$20,"_",DAY('Ficha de desembarque'!$J$16),MONTH('Ficha de desembarque'!$J$16),YEAR('Ficha de desembarque'!$J$16)))</f>
        <v/>
      </c>
      <c r="B118" s="22"/>
      <c r="C118" s="22"/>
      <c r="D118" s="22"/>
      <c r="E118" s="22"/>
      <c r="F118" s="22"/>
      <c r="G118" s="22"/>
      <c r="H118" s="22"/>
      <c r="I118" s="22"/>
      <c r="J118" s="22"/>
      <c r="K118" s="23"/>
      <c r="L118" s="34"/>
      <c r="N118" s="35">
        <f t="shared" si="2"/>
        <v>0</v>
      </c>
      <c r="O118" s="35">
        <f t="shared" si="3"/>
        <v>0</v>
      </c>
      <c r="S118" s="9">
        <v>117</v>
      </c>
      <c r="T118" s="9" t="s">
        <v>613</v>
      </c>
    </row>
    <row r="119" spans="1:20" s="9" customFormat="1" ht="18" x14ac:dyDescent="0.25">
      <c r="A119" s="69" t="str">
        <f>IF(LEN(B118)=0,"",CONCATENATE('Ficha de desembarque'!$J$18,"_",'Ficha de desembarque'!$J$20,"_",DAY('Ficha de desembarque'!$J$16),MONTH('Ficha de desembarque'!$J$16),YEAR('Ficha de desembarque'!$J$16)))</f>
        <v/>
      </c>
      <c r="B119" s="24"/>
      <c r="C119" s="24"/>
      <c r="D119" s="24"/>
      <c r="E119" s="24"/>
      <c r="F119" s="24"/>
      <c r="G119" s="24"/>
      <c r="H119" s="24"/>
      <c r="I119" s="24"/>
      <c r="J119" s="24"/>
      <c r="K119" s="25"/>
      <c r="L119" s="34"/>
      <c r="N119" s="35">
        <f t="shared" si="2"/>
        <v>0</v>
      </c>
      <c r="O119" s="35">
        <f t="shared" si="3"/>
        <v>0</v>
      </c>
      <c r="S119" s="9">
        <v>118</v>
      </c>
      <c r="T119" s="9" t="s">
        <v>614</v>
      </c>
    </row>
    <row r="120" spans="1:20" s="9" customFormat="1" ht="18" x14ac:dyDescent="0.25">
      <c r="A120" s="68" t="str">
        <f>IF(LEN(B119)=0,"",CONCATENATE('Ficha de desembarque'!$J$18,"_",'Ficha de desembarque'!$J$20,"_",DAY('Ficha de desembarque'!$J$16),MONTH('Ficha de desembarque'!$J$16),YEAR('Ficha de desembarque'!$J$16)))</f>
        <v/>
      </c>
      <c r="B120" s="22"/>
      <c r="C120" s="22"/>
      <c r="D120" s="22"/>
      <c r="E120" s="22"/>
      <c r="F120" s="22"/>
      <c r="G120" s="22"/>
      <c r="H120" s="22"/>
      <c r="I120" s="22"/>
      <c r="J120" s="22"/>
      <c r="K120" s="23"/>
      <c r="L120" s="34"/>
      <c r="N120" s="35">
        <f t="shared" si="2"/>
        <v>0</v>
      </c>
      <c r="O120" s="35">
        <f t="shared" si="3"/>
        <v>0</v>
      </c>
    </row>
    <row r="121" spans="1:20" s="9" customFormat="1" ht="18" x14ac:dyDescent="0.25">
      <c r="A121" s="69" t="str">
        <f>IF(LEN(B120)=0,"",CONCATENATE('Ficha de desembarque'!$J$18,"_",'Ficha de desembarque'!$J$20,"_",DAY('Ficha de desembarque'!$J$16),MONTH('Ficha de desembarque'!$J$16),YEAR('Ficha de desembarque'!$J$16)))</f>
        <v/>
      </c>
      <c r="B121" s="24"/>
      <c r="C121" s="24"/>
      <c r="D121" s="24"/>
      <c r="E121" s="24"/>
      <c r="F121" s="24"/>
      <c r="G121" s="24"/>
      <c r="H121" s="24"/>
      <c r="I121" s="24"/>
      <c r="J121" s="24"/>
      <c r="K121" s="25"/>
      <c r="L121" s="34"/>
      <c r="N121" s="35">
        <f t="shared" si="2"/>
        <v>0</v>
      </c>
      <c r="O121" s="35">
        <f t="shared" si="3"/>
        <v>0</v>
      </c>
    </row>
    <row r="122" spans="1:20" s="9" customFormat="1" ht="18" x14ac:dyDescent="0.25">
      <c r="A122" s="68" t="str">
        <f>IF(LEN(B121)=0,"",CONCATENATE('Ficha de desembarque'!$J$18,"_",'Ficha de desembarque'!$J$20,"_",DAY('Ficha de desembarque'!$J$16),MONTH('Ficha de desembarque'!$J$16),YEAR('Ficha de desembarque'!$J$16)))</f>
        <v/>
      </c>
      <c r="B122" s="22"/>
      <c r="C122" s="22"/>
      <c r="D122" s="22"/>
      <c r="E122" s="22"/>
      <c r="F122" s="22"/>
      <c r="G122" s="22"/>
      <c r="H122" s="22"/>
      <c r="I122" s="22"/>
      <c r="J122" s="22"/>
      <c r="K122" s="23"/>
      <c r="L122" s="34"/>
      <c r="N122" s="35">
        <f t="shared" si="2"/>
        <v>0</v>
      </c>
      <c r="O122" s="35">
        <f t="shared" si="3"/>
        <v>0</v>
      </c>
    </row>
    <row r="123" spans="1:20" s="9" customFormat="1" ht="18" x14ac:dyDescent="0.25">
      <c r="A123" s="69" t="str">
        <f>IF(LEN(B122)=0,"",CONCATENATE('Ficha de desembarque'!$J$18,"_",'Ficha de desembarque'!$J$20,"_",DAY('Ficha de desembarque'!$J$16),MONTH('Ficha de desembarque'!$J$16),YEAR('Ficha de desembarque'!$J$16)))</f>
        <v/>
      </c>
      <c r="B123" s="24"/>
      <c r="C123" s="24"/>
      <c r="D123" s="24"/>
      <c r="E123" s="24"/>
      <c r="F123" s="24"/>
      <c r="G123" s="24"/>
      <c r="H123" s="24"/>
      <c r="I123" s="24"/>
      <c r="J123" s="24"/>
      <c r="K123" s="25"/>
      <c r="L123" s="34"/>
      <c r="N123" s="35">
        <f t="shared" si="2"/>
        <v>0</v>
      </c>
      <c r="O123" s="35">
        <f t="shared" si="3"/>
        <v>0</v>
      </c>
    </row>
    <row r="124" spans="1:20" s="9" customFormat="1" ht="18" x14ac:dyDescent="0.25">
      <c r="A124" s="68" t="str">
        <f>IF(LEN(B123)=0,"",CONCATENATE('Ficha de desembarque'!$J$18,"_",'Ficha de desembarque'!$J$20,"_",DAY('Ficha de desembarque'!$J$16),MONTH('Ficha de desembarque'!$J$16),YEAR('Ficha de desembarque'!$J$16)))</f>
        <v/>
      </c>
      <c r="B124" s="22"/>
      <c r="C124" s="22"/>
      <c r="D124" s="22"/>
      <c r="E124" s="22"/>
      <c r="F124" s="22"/>
      <c r="G124" s="22"/>
      <c r="H124" s="22"/>
      <c r="I124" s="22"/>
      <c r="J124" s="22"/>
      <c r="K124" s="23"/>
      <c r="L124" s="34"/>
      <c r="N124" s="35">
        <f t="shared" si="2"/>
        <v>0</v>
      </c>
      <c r="O124" s="35">
        <f t="shared" si="3"/>
        <v>0</v>
      </c>
    </row>
    <row r="125" spans="1:20" s="9" customFormat="1" ht="18" x14ac:dyDescent="0.25">
      <c r="A125" s="69" t="str">
        <f>IF(LEN(B124)=0,"",CONCATENATE('Ficha de desembarque'!$J$18,"_",'Ficha de desembarque'!$J$20,"_",DAY('Ficha de desembarque'!$J$16),MONTH('Ficha de desembarque'!$J$16),YEAR('Ficha de desembarque'!$J$16)))</f>
        <v/>
      </c>
      <c r="B125" s="24"/>
      <c r="C125" s="24"/>
      <c r="D125" s="24"/>
      <c r="E125" s="24"/>
      <c r="F125" s="24"/>
      <c r="G125" s="24"/>
      <c r="H125" s="24"/>
      <c r="I125" s="24"/>
      <c r="J125" s="24"/>
      <c r="K125" s="25"/>
      <c r="L125" s="34"/>
      <c r="N125" s="35">
        <f t="shared" si="2"/>
        <v>0</v>
      </c>
      <c r="O125" s="35">
        <f t="shared" si="3"/>
        <v>0</v>
      </c>
    </row>
    <row r="126" spans="1:20" s="9" customFormat="1" ht="18" x14ac:dyDescent="0.25">
      <c r="A126" s="68" t="str">
        <f>IF(LEN(B125)=0,"",CONCATENATE('Ficha de desembarque'!$J$18,"_",'Ficha de desembarque'!$J$20,"_",DAY('Ficha de desembarque'!$J$16),MONTH('Ficha de desembarque'!$J$16),YEAR('Ficha de desembarque'!$J$16)))</f>
        <v/>
      </c>
      <c r="B126" s="22"/>
      <c r="C126" s="22"/>
      <c r="D126" s="22"/>
      <c r="E126" s="22"/>
      <c r="F126" s="22"/>
      <c r="G126" s="22"/>
      <c r="H126" s="22"/>
      <c r="I126" s="22"/>
      <c r="J126" s="22"/>
      <c r="K126" s="23"/>
      <c r="L126" s="34"/>
      <c r="N126" s="35">
        <f t="shared" si="2"/>
        <v>0</v>
      </c>
      <c r="O126" s="35">
        <f t="shared" si="3"/>
        <v>0</v>
      </c>
    </row>
    <row r="127" spans="1:20" s="9" customFormat="1" ht="18" x14ac:dyDescent="0.25">
      <c r="A127" s="69" t="str">
        <f>IF(LEN(B126)=0,"",CONCATENATE('Ficha de desembarque'!$J$18,"_",'Ficha de desembarque'!$J$20,"_",DAY('Ficha de desembarque'!$J$16),MONTH('Ficha de desembarque'!$J$16),YEAR('Ficha de desembarque'!$J$16)))</f>
        <v/>
      </c>
      <c r="B127" s="24"/>
      <c r="C127" s="24"/>
      <c r="D127" s="24"/>
      <c r="E127" s="24"/>
      <c r="F127" s="24"/>
      <c r="G127" s="24"/>
      <c r="H127" s="24"/>
      <c r="I127" s="24"/>
      <c r="J127" s="24"/>
      <c r="K127" s="25"/>
      <c r="L127" s="34"/>
      <c r="N127" s="35">
        <f t="shared" si="2"/>
        <v>0</v>
      </c>
      <c r="O127" s="35">
        <f t="shared" si="3"/>
        <v>0</v>
      </c>
    </row>
    <row r="128" spans="1:20" s="9" customFormat="1" ht="18" x14ac:dyDescent="0.25">
      <c r="A128" s="68" t="str">
        <f>IF(LEN(B127)=0,"",CONCATENATE('Ficha de desembarque'!$J$18,"_",'Ficha de desembarque'!$J$20,"_",DAY('Ficha de desembarque'!$J$16),MONTH('Ficha de desembarque'!$J$16),YEAR('Ficha de desembarque'!$J$16)))</f>
        <v/>
      </c>
      <c r="B128" s="22"/>
      <c r="C128" s="22"/>
      <c r="D128" s="22"/>
      <c r="E128" s="22"/>
      <c r="F128" s="22"/>
      <c r="G128" s="22"/>
      <c r="H128" s="22"/>
      <c r="I128" s="22"/>
      <c r="J128" s="22"/>
      <c r="K128" s="23"/>
      <c r="L128" s="34"/>
      <c r="N128" s="35">
        <f t="shared" si="2"/>
        <v>0</v>
      </c>
      <c r="O128" s="35">
        <f t="shared" si="3"/>
        <v>0</v>
      </c>
    </row>
    <row r="129" spans="1:15" s="9" customFormat="1" ht="18" x14ac:dyDescent="0.25">
      <c r="A129" s="69" t="str">
        <f>IF(LEN(B128)=0,"",CONCATENATE('Ficha de desembarque'!$J$18,"_",'Ficha de desembarque'!$J$20,"_",DAY('Ficha de desembarque'!$J$16),MONTH('Ficha de desembarque'!$J$16),YEAR('Ficha de desembarque'!$J$16)))</f>
        <v/>
      </c>
      <c r="B129" s="24"/>
      <c r="C129" s="24"/>
      <c r="D129" s="24"/>
      <c r="E129" s="24"/>
      <c r="F129" s="24"/>
      <c r="G129" s="24"/>
      <c r="H129" s="24"/>
      <c r="I129" s="24"/>
      <c r="J129" s="24"/>
      <c r="K129" s="25"/>
      <c r="L129" s="34"/>
      <c r="N129" s="35">
        <f t="shared" si="2"/>
        <v>0</v>
      </c>
      <c r="O129" s="35">
        <f t="shared" si="3"/>
        <v>0</v>
      </c>
    </row>
    <row r="130" spans="1:15" s="9" customFormat="1" ht="18" x14ac:dyDescent="0.25">
      <c r="A130" s="68" t="str">
        <f>IF(LEN(B129)=0,"",CONCATENATE('Ficha de desembarque'!$J$18,"_",'Ficha de desembarque'!$J$20,"_",DAY('Ficha de desembarque'!$J$16),MONTH('Ficha de desembarque'!$J$16),YEAR('Ficha de desembarque'!$J$16)))</f>
        <v/>
      </c>
      <c r="B130" s="22"/>
      <c r="C130" s="22"/>
      <c r="D130" s="22"/>
      <c r="E130" s="22"/>
      <c r="F130" s="22"/>
      <c r="G130" s="22"/>
      <c r="H130" s="22"/>
      <c r="I130" s="22"/>
      <c r="J130" s="22"/>
      <c r="K130" s="23"/>
      <c r="L130" s="34"/>
      <c r="N130" s="35">
        <f t="shared" si="2"/>
        <v>0</v>
      </c>
      <c r="O130" s="35">
        <f t="shared" si="3"/>
        <v>0</v>
      </c>
    </row>
    <row r="131" spans="1:15" s="9" customFormat="1" ht="18" x14ac:dyDescent="0.25">
      <c r="A131" s="69" t="str">
        <f>IF(LEN(B130)=0,"",CONCATENATE('Ficha de desembarque'!$J$18,"_",'Ficha de desembarque'!$J$20,"_",DAY('Ficha de desembarque'!$J$16),MONTH('Ficha de desembarque'!$J$16),YEAR('Ficha de desembarque'!$J$16)))</f>
        <v/>
      </c>
      <c r="B131" s="24"/>
      <c r="C131" s="24"/>
      <c r="D131" s="24"/>
      <c r="E131" s="24"/>
      <c r="F131" s="24"/>
      <c r="G131" s="24"/>
      <c r="H131" s="24"/>
      <c r="I131" s="24"/>
      <c r="J131" s="24"/>
      <c r="K131" s="25"/>
      <c r="L131" s="34"/>
      <c r="N131" s="35">
        <f t="shared" si="2"/>
        <v>0</v>
      </c>
      <c r="O131" s="35">
        <f t="shared" si="3"/>
        <v>0</v>
      </c>
    </row>
    <row r="132" spans="1:15" s="9" customFormat="1" ht="18" x14ac:dyDescent="0.25">
      <c r="A132" s="68" t="str">
        <f>IF(LEN(B131)=0,"",CONCATENATE('Ficha de desembarque'!$J$18,"_",'Ficha de desembarque'!$J$20,"_",DAY('Ficha de desembarque'!$J$16),MONTH('Ficha de desembarque'!$J$16),YEAR('Ficha de desembarque'!$J$16)))</f>
        <v/>
      </c>
      <c r="B132" s="22"/>
      <c r="C132" s="22"/>
      <c r="D132" s="22"/>
      <c r="E132" s="22"/>
      <c r="F132" s="22"/>
      <c r="G132" s="22"/>
      <c r="H132" s="22"/>
      <c r="I132" s="22"/>
      <c r="J132" s="22"/>
      <c r="K132" s="23"/>
      <c r="L132" s="34"/>
      <c r="N132" s="35">
        <f t="shared" si="2"/>
        <v>0</v>
      </c>
      <c r="O132" s="35">
        <f t="shared" si="3"/>
        <v>0</v>
      </c>
    </row>
    <row r="133" spans="1:15" s="9" customFormat="1" ht="18" x14ac:dyDescent="0.25">
      <c r="A133" s="69" t="str">
        <f>IF(LEN(B132)=0,"",CONCATENATE('Ficha de desembarque'!$J$18,"_",'Ficha de desembarque'!$J$20,"_",DAY('Ficha de desembarque'!$J$16),MONTH('Ficha de desembarque'!$J$16),YEAR('Ficha de desembarque'!$J$16)))</f>
        <v/>
      </c>
      <c r="B133" s="24"/>
      <c r="C133" s="24"/>
      <c r="D133" s="24"/>
      <c r="E133" s="24"/>
      <c r="F133" s="24"/>
      <c r="G133" s="24"/>
      <c r="H133" s="24"/>
      <c r="I133" s="24"/>
      <c r="J133" s="24"/>
      <c r="K133" s="25"/>
      <c r="L133" s="34"/>
      <c r="N133" s="35">
        <f t="shared" si="2"/>
        <v>0</v>
      </c>
      <c r="O133" s="35">
        <f t="shared" si="3"/>
        <v>0</v>
      </c>
    </row>
    <row r="134" spans="1:15" s="9" customFormat="1" ht="18" x14ac:dyDescent="0.25">
      <c r="A134" s="68" t="str">
        <f>IF(LEN(B133)=0,"",CONCATENATE('Ficha de desembarque'!$J$18,"_",'Ficha de desembarque'!$J$20,"_",DAY('Ficha de desembarque'!$J$16),MONTH('Ficha de desembarque'!$J$16),YEAR('Ficha de desembarque'!$J$16)))</f>
        <v/>
      </c>
      <c r="B134" s="22"/>
      <c r="C134" s="22"/>
      <c r="D134" s="22"/>
      <c r="E134" s="22"/>
      <c r="F134" s="22"/>
      <c r="G134" s="22"/>
      <c r="H134" s="22"/>
      <c r="I134" s="22"/>
      <c r="J134" s="22"/>
      <c r="K134" s="23"/>
      <c r="L134" s="34"/>
      <c r="N134" s="35">
        <f t="shared" si="2"/>
        <v>0</v>
      </c>
      <c r="O134" s="35">
        <f t="shared" si="3"/>
        <v>0</v>
      </c>
    </row>
    <row r="135" spans="1:15" s="9" customFormat="1" ht="18" x14ac:dyDescent="0.25">
      <c r="A135" s="69" t="str">
        <f>IF(LEN(B134)=0,"",CONCATENATE('Ficha de desembarque'!$J$18,"_",'Ficha de desembarque'!$J$20,"_",DAY('Ficha de desembarque'!$J$16),MONTH('Ficha de desembarque'!$J$16),YEAR('Ficha de desembarque'!$J$16)))</f>
        <v/>
      </c>
      <c r="B135" s="24"/>
      <c r="C135" s="24"/>
      <c r="D135" s="24"/>
      <c r="E135" s="24"/>
      <c r="F135" s="24"/>
      <c r="G135" s="24"/>
      <c r="H135" s="24"/>
      <c r="I135" s="24"/>
      <c r="J135" s="24"/>
      <c r="K135" s="25"/>
      <c r="L135" s="34"/>
      <c r="N135" s="35">
        <f t="shared" si="2"/>
        <v>0</v>
      </c>
      <c r="O135" s="35">
        <f t="shared" si="3"/>
        <v>0</v>
      </c>
    </row>
    <row r="136" spans="1:15" s="9" customFormat="1" ht="18" x14ac:dyDescent="0.25">
      <c r="A136" s="68" t="str">
        <f>IF(LEN(B135)=0,"",CONCATENATE('Ficha de desembarque'!$J$18,"_",'Ficha de desembarque'!$J$20,"_",DAY('Ficha de desembarque'!$J$16),MONTH('Ficha de desembarque'!$J$16),YEAR('Ficha de desembarque'!$J$16)))</f>
        <v/>
      </c>
      <c r="B136" s="22"/>
      <c r="C136" s="22"/>
      <c r="D136" s="22"/>
      <c r="E136" s="22"/>
      <c r="F136" s="22"/>
      <c r="G136" s="22"/>
      <c r="H136" s="22"/>
      <c r="I136" s="22"/>
      <c r="J136" s="22"/>
      <c r="K136" s="23"/>
      <c r="L136" s="34"/>
      <c r="N136" s="35">
        <f t="shared" si="2"/>
        <v>0</v>
      </c>
      <c r="O136" s="35">
        <f t="shared" si="3"/>
        <v>0</v>
      </c>
    </row>
    <row r="137" spans="1:15" s="9" customFormat="1" ht="18" x14ac:dyDescent="0.25">
      <c r="A137" s="69" t="str">
        <f>IF(LEN(B136)=0,"",CONCATENATE('Ficha de desembarque'!$J$18,"_",'Ficha de desembarque'!$J$20,"_",DAY('Ficha de desembarque'!$J$16),MONTH('Ficha de desembarque'!$J$16),YEAR('Ficha de desembarque'!$J$16)))</f>
        <v/>
      </c>
      <c r="B137" s="24"/>
      <c r="C137" s="24"/>
      <c r="D137" s="24"/>
      <c r="E137" s="24"/>
      <c r="F137" s="24"/>
      <c r="G137" s="24"/>
      <c r="H137" s="24"/>
      <c r="I137" s="24"/>
      <c r="J137" s="24"/>
      <c r="K137" s="25"/>
      <c r="L137" s="34"/>
      <c r="N137" s="35">
        <f t="shared" si="2"/>
        <v>0</v>
      </c>
      <c r="O137" s="35">
        <f t="shared" si="3"/>
        <v>0</v>
      </c>
    </row>
    <row r="138" spans="1:15" s="9" customFormat="1" ht="18" x14ac:dyDescent="0.25">
      <c r="A138" s="68" t="str">
        <f>IF(LEN(B137)=0,"",CONCATENATE('Ficha de desembarque'!$J$18,"_",'Ficha de desembarque'!$J$20,"_",DAY('Ficha de desembarque'!$J$16),MONTH('Ficha de desembarque'!$J$16),YEAR('Ficha de desembarque'!$J$16)))</f>
        <v/>
      </c>
      <c r="B138" s="22"/>
      <c r="C138" s="22"/>
      <c r="D138" s="22"/>
      <c r="E138" s="22"/>
      <c r="F138" s="22"/>
      <c r="G138" s="22"/>
      <c r="H138" s="22"/>
      <c r="I138" s="22"/>
      <c r="J138" s="22"/>
      <c r="K138" s="23"/>
      <c r="L138" s="34"/>
      <c r="N138" s="35">
        <f t="shared" si="2"/>
        <v>0</v>
      </c>
      <c r="O138" s="35">
        <f t="shared" si="3"/>
        <v>0</v>
      </c>
    </row>
    <row r="139" spans="1:15" s="9" customFormat="1" ht="18" x14ac:dyDescent="0.25">
      <c r="A139" s="69" t="str">
        <f>IF(LEN(B138)=0,"",CONCATENATE('Ficha de desembarque'!$J$18,"_",'Ficha de desembarque'!$J$20,"_",DAY('Ficha de desembarque'!$J$16),MONTH('Ficha de desembarque'!$J$16),YEAR('Ficha de desembarque'!$J$16)))</f>
        <v/>
      </c>
      <c r="B139" s="24"/>
      <c r="C139" s="24"/>
      <c r="D139" s="24"/>
      <c r="E139" s="24"/>
      <c r="F139" s="24"/>
      <c r="G139" s="24"/>
      <c r="H139" s="24"/>
      <c r="I139" s="24"/>
      <c r="J139" s="24"/>
      <c r="K139" s="25"/>
      <c r="L139" s="34"/>
      <c r="N139" s="35">
        <f t="shared" si="2"/>
        <v>0</v>
      </c>
      <c r="O139" s="35">
        <f t="shared" si="3"/>
        <v>0</v>
      </c>
    </row>
    <row r="140" spans="1:15" s="9" customFormat="1" ht="18" x14ac:dyDescent="0.25">
      <c r="A140" s="68" t="str">
        <f>IF(LEN(B139)=0,"",CONCATENATE('Ficha de desembarque'!$J$18,"_",'Ficha de desembarque'!$J$20,"_",DAY('Ficha de desembarque'!$J$16),MONTH('Ficha de desembarque'!$J$16),YEAR('Ficha de desembarque'!$J$16)))</f>
        <v/>
      </c>
      <c r="B140" s="22"/>
      <c r="C140" s="22"/>
      <c r="D140" s="22"/>
      <c r="E140" s="22"/>
      <c r="F140" s="22"/>
      <c r="G140" s="22"/>
      <c r="H140" s="22"/>
      <c r="I140" s="22"/>
      <c r="J140" s="22"/>
      <c r="K140" s="23"/>
      <c r="L140" s="34"/>
      <c r="N140" s="35">
        <f t="shared" ref="N140:N203" si="4">MAX(0,D140)</f>
        <v>0</v>
      </c>
      <c r="O140" s="35">
        <f t="shared" ref="O140:O203" si="5">MAX(0,F140)</f>
        <v>0</v>
      </c>
    </row>
    <row r="141" spans="1:15" s="9" customFormat="1" ht="18" x14ac:dyDescent="0.25">
      <c r="A141" s="69" t="str">
        <f>IF(LEN(B140)=0,"",CONCATENATE('Ficha de desembarque'!$J$18,"_",'Ficha de desembarque'!$J$20,"_",DAY('Ficha de desembarque'!$J$16),MONTH('Ficha de desembarque'!$J$16),YEAR('Ficha de desembarque'!$J$16)))</f>
        <v/>
      </c>
      <c r="B141" s="24"/>
      <c r="C141" s="24"/>
      <c r="D141" s="24"/>
      <c r="E141" s="24"/>
      <c r="F141" s="24"/>
      <c r="G141" s="24"/>
      <c r="H141" s="24"/>
      <c r="I141" s="24"/>
      <c r="J141" s="24"/>
      <c r="K141" s="25"/>
      <c r="L141" s="34"/>
      <c r="N141" s="35">
        <f t="shared" si="4"/>
        <v>0</v>
      </c>
      <c r="O141" s="35">
        <f t="shared" si="5"/>
        <v>0</v>
      </c>
    </row>
    <row r="142" spans="1:15" s="9" customFormat="1" ht="18" x14ac:dyDescent="0.25">
      <c r="A142" s="68" t="str">
        <f>IF(LEN(B141)=0,"",CONCATENATE('Ficha de desembarque'!$J$18,"_",'Ficha de desembarque'!$J$20,"_",DAY('Ficha de desembarque'!$J$16),MONTH('Ficha de desembarque'!$J$16),YEAR('Ficha de desembarque'!$J$16)))</f>
        <v/>
      </c>
      <c r="B142" s="22"/>
      <c r="C142" s="22"/>
      <c r="D142" s="22"/>
      <c r="E142" s="22"/>
      <c r="F142" s="22"/>
      <c r="G142" s="22"/>
      <c r="H142" s="22"/>
      <c r="I142" s="22"/>
      <c r="J142" s="22"/>
      <c r="K142" s="23"/>
      <c r="L142" s="34"/>
      <c r="N142" s="35">
        <f t="shared" si="4"/>
        <v>0</v>
      </c>
      <c r="O142" s="35">
        <f t="shared" si="5"/>
        <v>0</v>
      </c>
    </row>
    <row r="143" spans="1:15" s="9" customFormat="1" ht="18" x14ac:dyDescent="0.25">
      <c r="A143" s="69" t="str">
        <f>IF(LEN(B142)=0,"",CONCATENATE('Ficha de desembarque'!$J$18,"_",'Ficha de desembarque'!$J$20,"_",DAY('Ficha de desembarque'!$J$16),MONTH('Ficha de desembarque'!$J$16),YEAR('Ficha de desembarque'!$J$16)))</f>
        <v/>
      </c>
      <c r="B143" s="24"/>
      <c r="C143" s="24"/>
      <c r="D143" s="24"/>
      <c r="E143" s="24"/>
      <c r="F143" s="24"/>
      <c r="G143" s="24"/>
      <c r="H143" s="24"/>
      <c r="I143" s="24"/>
      <c r="J143" s="24"/>
      <c r="K143" s="25"/>
      <c r="L143" s="34"/>
      <c r="N143" s="35">
        <f t="shared" si="4"/>
        <v>0</v>
      </c>
      <c r="O143" s="35">
        <f t="shared" si="5"/>
        <v>0</v>
      </c>
    </row>
    <row r="144" spans="1:15" s="9" customFormat="1" ht="18" x14ac:dyDescent="0.25">
      <c r="A144" s="68" t="str">
        <f>IF(LEN(B143)=0,"",CONCATENATE('Ficha de desembarque'!$J$18,"_",'Ficha de desembarque'!$J$20,"_",DAY('Ficha de desembarque'!$J$16),MONTH('Ficha de desembarque'!$J$16),YEAR('Ficha de desembarque'!$J$16)))</f>
        <v/>
      </c>
      <c r="B144" s="22"/>
      <c r="C144" s="22"/>
      <c r="D144" s="22"/>
      <c r="E144" s="22"/>
      <c r="F144" s="22"/>
      <c r="G144" s="22"/>
      <c r="H144" s="22"/>
      <c r="I144" s="22"/>
      <c r="J144" s="22"/>
      <c r="K144" s="23"/>
      <c r="L144" s="34"/>
      <c r="N144" s="35">
        <f t="shared" si="4"/>
        <v>0</v>
      </c>
      <c r="O144" s="35">
        <f t="shared" si="5"/>
        <v>0</v>
      </c>
    </row>
    <row r="145" spans="1:15" s="9" customFormat="1" ht="18" x14ac:dyDescent="0.25">
      <c r="A145" s="69" t="str">
        <f>IF(LEN(B144)=0,"",CONCATENATE('Ficha de desembarque'!$J$18,"_",'Ficha de desembarque'!$J$20,"_",DAY('Ficha de desembarque'!$J$16),MONTH('Ficha de desembarque'!$J$16),YEAR('Ficha de desembarque'!$J$16)))</f>
        <v/>
      </c>
      <c r="B145" s="24"/>
      <c r="C145" s="24"/>
      <c r="D145" s="24"/>
      <c r="E145" s="24"/>
      <c r="F145" s="24"/>
      <c r="G145" s="24"/>
      <c r="H145" s="24"/>
      <c r="I145" s="24"/>
      <c r="J145" s="24"/>
      <c r="K145" s="25"/>
      <c r="L145" s="34"/>
      <c r="N145" s="35">
        <f t="shared" si="4"/>
        <v>0</v>
      </c>
      <c r="O145" s="35">
        <f t="shared" si="5"/>
        <v>0</v>
      </c>
    </row>
    <row r="146" spans="1:15" s="9" customFormat="1" ht="18" x14ac:dyDescent="0.25">
      <c r="A146" s="68" t="str">
        <f>IF(LEN(B145)=0,"",CONCATENATE('Ficha de desembarque'!$J$18,"_",'Ficha de desembarque'!$J$20,"_",DAY('Ficha de desembarque'!$J$16),MONTH('Ficha de desembarque'!$J$16),YEAR('Ficha de desembarque'!$J$16)))</f>
        <v/>
      </c>
      <c r="B146" s="22"/>
      <c r="C146" s="22"/>
      <c r="D146" s="22"/>
      <c r="E146" s="22"/>
      <c r="F146" s="22"/>
      <c r="G146" s="22"/>
      <c r="H146" s="22"/>
      <c r="I146" s="22"/>
      <c r="J146" s="22"/>
      <c r="K146" s="23"/>
      <c r="L146" s="34"/>
      <c r="N146" s="35">
        <f t="shared" si="4"/>
        <v>0</v>
      </c>
      <c r="O146" s="35">
        <f t="shared" si="5"/>
        <v>0</v>
      </c>
    </row>
    <row r="147" spans="1:15" s="9" customFormat="1" ht="18" x14ac:dyDescent="0.25">
      <c r="A147" s="69" t="str">
        <f>IF(LEN(B146)=0,"",CONCATENATE('Ficha de desembarque'!$J$18,"_",'Ficha de desembarque'!$J$20,"_",DAY('Ficha de desembarque'!$J$16),MONTH('Ficha de desembarque'!$J$16),YEAR('Ficha de desembarque'!$J$16)))</f>
        <v/>
      </c>
      <c r="B147" s="24"/>
      <c r="C147" s="24"/>
      <c r="D147" s="24"/>
      <c r="E147" s="24"/>
      <c r="F147" s="24"/>
      <c r="G147" s="24"/>
      <c r="H147" s="24"/>
      <c r="I147" s="24"/>
      <c r="J147" s="24"/>
      <c r="K147" s="25"/>
      <c r="L147" s="34"/>
      <c r="N147" s="35">
        <f t="shared" si="4"/>
        <v>0</v>
      </c>
      <c r="O147" s="35">
        <f t="shared" si="5"/>
        <v>0</v>
      </c>
    </row>
    <row r="148" spans="1:15" s="9" customFormat="1" ht="18" x14ac:dyDescent="0.25">
      <c r="A148" s="68" t="str">
        <f>IF(LEN(B147)=0,"",CONCATENATE('Ficha de desembarque'!$J$18,"_",'Ficha de desembarque'!$J$20,"_",DAY('Ficha de desembarque'!$J$16),MONTH('Ficha de desembarque'!$J$16),YEAR('Ficha de desembarque'!$J$16)))</f>
        <v/>
      </c>
      <c r="B148" s="22"/>
      <c r="C148" s="22"/>
      <c r="D148" s="22"/>
      <c r="E148" s="22"/>
      <c r="F148" s="22"/>
      <c r="G148" s="22"/>
      <c r="H148" s="22"/>
      <c r="I148" s="22"/>
      <c r="J148" s="22"/>
      <c r="K148" s="23"/>
      <c r="L148" s="34"/>
      <c r="N148" s="35">
        <f t="shared" si="4"/>
        <v>0</v>
      </c>
      <c r="O148" s="35">
        <f t="shared" si="5"/>
        <v>0</v>
      </c>
    </row>
    <row r="149" spans="1:15" s="9" customFormat="1" ht="18" x14ac:dyDescent="0.25">
      <c r="A149" s="69" t="str">
        <f>IF(LEN(B148)=0,"",CONCATENATE('Ficha de desembarque'!$J$18,"_",'Ficha de desembarque'!$J$20,"_",DAY('Ficha de desembarque'!$J$16),MONTH('Ficha de desembarque'!$J$16),YEAR('Ficha de desembarque'!$J$16)))</f>
        <v/>
      </c>
      <c r="B149" s="24"/>
      <c r="C149" s="24"/>
      <c r="D149" s="24"/>
      <c r="E149" s="24"/>
      <c r="F149" s="24"/>
      <c r="G149" s="24"/>
      <c r="H149" s="24"/>
      <c r="I149" s="24"/>
      <c r="J149" s="24"/>
      <c r="K149" s="25"/>
      <c r="L149" s="34"/>
      <c r="N149" s="35">
        <f t="shared" si="4"/>
        <v>0</v>
      </c>
      <c r="O149" s="35">
        <f t="shared" si="5"/>
        <v>0</v>
      </c>
    </row>
    <row r="150" spans="1:15" s="9" customFormat="1" ht="18" x14ac:dyDescent="0.25">
      <c r="A150" s="68" t="str">
        <f>IF(LEN(B149)=0,"",CONCATENATE('Ficha de desembarque'!$J$18,"_",'Ficha de desembarque'!$J$20,"_",DAY('Ficha de desembarque'!$J$16),MONTH('Ficha de desembarque'!$J$16),YEAR('Ficha de desembarque'!$J$16)))</f>
        <v/>
      </c>
      <c r="B150" s="22"/>
      <c r="C150" s="22"/>
      <c r="D150" s="22"/>
      <c r="E150" s="22"/>
      <c r="F150" s="22"/>
      <c r="G150" s="22"/>
      <c r="H150" s="22"/>
      <c r="I150" s="22"/>
      <c r="J150" s="22"/>
      <c r="K150" s="23"/>
      <c r="L150" s="34"/>
      <c r="N150" s="35">
        <f t="shared" si="4"/>
        <v>0</v>
      </c>
      <c r="O150" s="35">
        <f t="shared" si="5"/>
        <v>0</v>
      </c>
    </row>
    <row r="151" spans="1:15" s="9" customFormat="1" ht="18" x14ac:dyDescent="0.25">
      <c r="A151" s="69" t="str">
        <f>IF(LEN(B150)=0,"",CONCATENATE('Ficha de desembarque'!$J$18,"_",'Ficha de desembarque'!$J$20,"_",DAY('Ficha de desembarque'!$J$16),MONTH('Ficha de desembarque'!$J$16),YEAR('Ficha de desembarque'!$J$16)))</f>
        <v/>
      </c>
      <c r="B151" s="24"/>
      <c r="C151" s="24"/>
      <c r="D151" s="24"/>
      <c r="E151" s="24"/>
      <c r="F151" s="24"/>
      <c r="G151" s="24"/>
      <c r="H151" s="24"/>
      <c r="I151" s="24"/>
      <c r="J151" s="24"/>
      <c r="K151" s="25"/>
      <c r="L151" s="34"/>
      <c r="N151" s="35">
        <f t="shared" si="4"/>
        <v>0</v>
      </c>
      <c r="O151" s="35">
        <f t="shared" si="5"/>
        <v>0</v>
      </c>
    </row>
    <row r="152" spans="1:15" s="9" customFormat="1" ht="18" x14ac:dyDescent="0.25">
      <c r="A152" s="68" t="str">
        <f>IF(LEN(B151)=0,"",CONCATENATE('Ficha de desembarque'!$J$18,"_",'Ficha de desembarque'!$J$20,"_",DAY('Ficha de desembarque'!$J$16),MONTH('Ficha de desembarque'!$J$16),YEAR('Ficha de desembarque'!$J$16)))</f>
        <v/>
      </c>
      <c r="B152" s="22"/>
      <c r="C152" s="22"/>
      <c r="D152" s="22"/>
      <c r="E152" s="22"/>
      <c r="F152" s="22"/>
      <c r="G152" s="22"/>
      <c r="H152" s="22"/>
      <c r="I152" s="22"/>
      <c r="J152" s="22"/>
      <c r="K152" s="23"/>
      <c r="L152" s="34"/>
      <c r="N152" s="35">
        <f t="shared" si="4"/>
        <v>0</v>
      </c>
      <c r="O152" s="35">
        <f t="shared" si="5"/>
        <v>0</v>
      </c>
    </row>
    <row r="153" spans="1:15" s="9" customFormat="1" ht="18" x14ac:dyDescent="0.25">
      <c r="A153" s="69" t="str">
        <f>IF(LEN(B152)=0,"",CONCATENATE('Ficha de desembarque'!$J$18,"_",'Ficha de desembarque'!$J$20,"_",DAY('Ficha de desembarque'!$J$16),MONTH('Ficha de desembarque'!$J$16),YEAR('Ficha de desembarque'!$J$16)))</f>
        <v/>
      </c>
      <c r="B153" s="24"/>
      <c r="C153" s="24"/>
      <c r="D153" s="24"/>
      <c r="E153" s="24"/>
      <c r="F153" s="24"/>
      <c r="G153" s="24"/>
      <c r="H153" s="24"/>
      <c r="I153" s="24"/>
      <c r="J153" s="24"/>
      <c r="K153" s="25"/>
      <c r="L153" s="34"/>
      <c r="N153" s="35">
        <f t="shared" si="4"/>
        <v>0</v>
      </c>
      <c r="O153" s="35">
        <f t="shared" si="5"/>
        <v>0</v>
      </c>
    </row>
    <row r="154" spans="1:15" s="9" customFormat="1" ht="18" x14ac:dyDescent="0.25">
      <c r="A154" s="68" t="str">
        <f>IF(LEN(B153)=0,"",CONCATENATE('Ficha de desembarque'!$J$18,"_",'Ficha de desembarque'!$J$20,"_",DAY('Ficha de desembarque'!$J$16),MONTH('Ficha de desembarque'!$J$16),YEAR('Ficha de desembarque'!$J$16)))</f>
        <v/>
      </c>
      <c r="B154" s="22"/>
      <c r="C154" s="22"/>
      <c r="D154" s="22"/>
      <c r="E154" s="22"/>
      <c r="F154" s="22"/>
      <c r="G154" s="22"/>
      <c r="H154" s="22"/>
      <c r="I154" s="22"/>
      <c r="J154" s="22"/>
      <c r="K154" s="23"/>
      <c r="L154" s="34"/>
      <c r="N154" s="35">
        <f t="shared" si="4"/>
        <v>0</v>
      </c>
      <c r="O154" s="35">
        <f t="shared" si="5"/>
        <v>0</v>
      </c>
    </row>
    <row r="155" spans="1:15" s="9" customFormat="1" ht="18" x14ac:dyDescent="0.25">
      <c r="A155" s="69" t="str">
        <f>IF(LEN(B154)=0,"",CONCATENATE('Ficha de desembarque'!$J$18,"_",'Ficha de desembarque'!$J$20,"_",DAY('Ficha de desembarque'!$J$16),MONTH('Ficha de desembarque'!$J$16),YEAR('Ficha de desembarque'!$J$16)))</f>
        <v/>
      </c>
      <c r="B155" s="24"/>
      <c r="C155" s="24"/>
      <c r="D155" s="24"/>
      <c r="E155" s="24"/>
      <c r="F155" s="24"/>
      <c r="G155" s="24"/>
      <c r="H155" s="24"/>
      <c r="I155" s="24"/>
      <c r="J155" s="24"/>
      <c r="K155" s="25"/>
      <c r="L155" s="34"/>
      <c r="N155" s="35">
        <f t="shared" si="4"/>
        <v>0</v>
      </c>
      <c r="O155" s="35">
        <f t="shared" si="5"/>
        <v>0</v>
      </c>
    </row>
    <row r="156" spans="1:15" s="9" customFormat="1" ht="18" x14ac:dyDescent="0.25">
      <c r="A156" s="68" t="str">
        <f>IF(LEN(B155)=0,"",CONCATENATE('Ficha de desembarque'!$J$18,"_",'Ficha de desembarque'!$J$20,"_",DAY('Ficha de desembarque'!$J$16),MONTH('Ficha de desembarque'!$J$16),YEAR('Ficha de desembarque'!$J$16)))</f>
        <v/>
      </c>
      <c r="B156" s="22"/>
      <c r="C156" s="22"/>
      <c r="D156" s="22"/>
      <c r="E156" s="22"/>
      <c r="F156" s="22"/>
      <c r="G156" s="22"/>
      <c r="H156" s="22"/>
      <c r="I156" s="22"/>
      <c r="J156" s="22"/>
      <c r="K156" s="23"/>
      <c r="L156" s="34"/>
      <c r="N156" s="35">
        <f t="shared" si="4"/>
        <v>0</v>
      </c>
      <c r="O156" s="35">
        <f t="shared" si="5"/>
        <v>0</v>
      </c>
    </row>
    <row r="157" spans="1:15" s="9" customFormat="1" ht="18" x14ac:dyDescent="0.25">
      <c r="A157" s="69" t="str">
        <f>IF(LEN(B156)=0,"",CONCATENATE('Ficha de desembarque'!$J$18,"_",'Ficha de desembarque'!$J$20,"_",DAY('Ficha de desembarque'!$J$16),MONTH('Ficha de desembarque'!$J$16),YEAR('Ficha de desembarque'!$J$16)))</f>
        <v/>
      </c>
      <c r="B157" s="24"/>
      <c r="C157" s="24"/>
      <c r="D157" s="24"/>
      <c r="E157" s="24"/>
      <c r="F157" s="24"/>
      <c r="G157" s="24"/>
      <c r="H157" s="24"/>
      <c r="I157" s="24"/>
      <c r="J157" s="24"/>
      <c r="K157" s="25"/>
      <c r="L157" s="34"/>
      <c r="N157" s="35">
        <f t="shared" si="4"/>
        <v>0</v>
      </c>
      <c r="O157" s="35">
        <f t="shared" si="5"/>
        <v>0</v>
      </c>
    </row>
    <row r="158" spans="1:15" s="9" customFormat="1" ht="18" x14ac:dyDescent="0.25">
      <c r="A158" s="68" t="str">
        <f>IF(LEN(B157)=0,"",CONCATENATE('Ficha de desembarque'!$J$18,"_",'Ficha de desembarque'!$J$20,"_",DAY('Ficha de desembarque'!$J$16),MONTH('Ficha de desembarque'!$J$16),YEAR('Ficha de desembarque'!$J$16)))</f>
        <v/>
      </c>
      <c r="B158" s="22"/>
      <c r="C158" s="22"/>
      <c r="D158" s="22"/>
      <c r="E158" s="22"/>
      <c r="F158" s="22"/>
      <c r="G158" s="22"/>
      <c r="H158" s="22"/>
      <c r="I158" s="22"/>
      <c r="J158" s="22"/>
      <c r="K158" s="23"/>
      <c r="L158" s="34"/>
      <c r="N158" s="35">
        <f t="shared" si="4"/>
        <v>0</v>
      </c>
      <c r="O158" s="35">
        <f t="shared" si="5"/>
        <v>0</v>
      </c>
    </row>
    <row r="159" spans="1:15" s="9" customFormat="1" ht="18" x14ac:dyDescent="0.25">
      <c r="A159" s="69" t="str">
        <f>IF(LEN(B158)=0,"",CONCATENATE('Ficha de desembarque'!$J$18,"_",'Ficha de desembarque'!$J$20,"_",DAY('Ficha de desembarque'!$J$16),MONTH('Ficha de desembarque'!$J$16),YEAR('Ficha de desembarque'!$J$16)))</f>
        <v/>
      </c>
      <c r="B159" s="24"/>
      <c r="C159" s="24"/>
      <c r="D159" s="24"/>
      <c r="E159" s="24"/>
      <c r="F159" s="24"/>
      <c r="G159" s="24"/>
      <c r="H159" s="24"/>
      <c r="I159" s="24"/>
      <c r="J159" s="24"/>
      <c r="K159" s="25"/>
      <c r="L159" s="34"/>
      <c r="N159" s="35">
        <f t="shared" si="4"/>
        <v>0</v>
      </c>
      <c r="O159" s="35">
        <f t="shared" si="5"/>
        <v>0</v>
      </c>
    </row>
    <row r="160" spans="1:15" s="9" customFormat="1" ht="18" x14ac:dyDescent="0.25">
      <c r="A160" s="68" t="str">
        <f>IF(LEN(B159)=0,"",CONCATENATE('Ficha de desembarque'!$J$18,"_",'Ficha de desembarque'!$J$20,"_",DAY('Ficha de desembarque'!$J$16),MONTH('Ficha de desembarque'!$J$16),YEAR('Ficha de desembarque'!$J$16)))</f>
        <v/>
      </c>
      <c r="B160" s="22"/>
      <c r="C160" s="22"/>
      <c r="D160" s="22"/>
      <c r="E160" s="22"/>
      <c r="F160" s="22"/>
      <c r="G160" s="22"/>
      <c r="H160" s="22"/>
      <c r="I160" s="22"/>
      <c r="J160" s="22"/>
      <c r="K160" s="23"/>
      <c r="L160" s="34"/>
      <c r="N160" s="35">
        <f t="shared" si="4"/>
        <v>0</v>
      </c>
      <c r="O160" s="35">
        <f t="shared" si="5"/>
        <v>0</v>
      </c>
    </row>
    <row r="161" spans="1:15" s="9" customFormat="1" ht="18" x14ac:dyDescent="0.25">
      <c r="A161" s="69" t="str">
        <f>IF(LEN(B160)=0,"",CONCATENATE('Ficha de desembarque'!$J$18,"_",'Ficha de desembarque'!$J$20,"_",DAY('Ficha de desembarque'!$J$16),MONTH('Ficha de desembarque'!$J$16),YEAR('Ficha de desembarque'!$J$16)))</f>
        <v/>
      </c>
      <c r="B161" s="24"/>
      <c r="C161" s="24"/>
      <c r="D161" s="24"/>
      <c r="E161" s="24"/>
      <c r="F161" s="24"/>
      <c r="G161" s="24"/>
      <c r="H161" s="24"/>
      <c r="I161" s="24"/>
      <c r="J161" s="24"/>
      <c r="K161" s="25"/>
      <c r="L161" s="34"/>
      <c r="N161" s="35">
        <f t="shared" si="4"/>
        <v>0</v>
      </c>
      <c r="O161" s="35">
        <f t="shared" si="5"/>
        <v>0</v>
      </c>
    </row>
    <row r="162" spans="1:15" s="9" customFormat="1" ht="18" x14ac:dyDescent="0.25">
      <c r="A162" s="68" t="str">
        <f>IF(LEN(B161)=0,"",CONCATENATE('Ficha de desembarque'!$J$18,"_",'Ficha de desembarque'!$J$20,"_",DAY('Ficha de desembarque'!$J$16),MONTH('Ficha de desembarque'!$J$16),YEAR('Ficha de desembarque'!$J$16)))</f>
        <v/>
      </c>
      <c r="B162" s="22"/>
      <c r="C162" s="22"/>
      <c r="D162" s="22"/>
      <c r="E162" s="22"/>
      <c r="F162" s="22"/>
      <c r="G162" s="22"/>
      <c r="H162" s="22"/>
      <c r="I162" s="22"/>
      <c r="J162" s="22"/>
      <c r="K162" s="23"/>
      <c r="L162" s="34"/>
      <c r="N162" s="35">
        <f t="shared" si="4"/>
        <v>0</v>
      </c>
      <c r="O162" s="35">
        <f t="shared" si="5"/>
        <v>0</v>
      </c>
    </row>
    <row r="163" spans="1:15" s="9" customFormat="1" ht="18" x14ac:dyDescent="0.25">
      <c r="A163" s="69" t="str">
        <f>IF(LEN(B162)=0,"",CONCATENATE('Ficha de desembarque'!$J$18,"_",'Ficha de desembarque'!$J$20,"_",DAY('Ficha de desembarque'!$J$16),MONTH('Ficha de desembarque'!$J$16),YEAR('Ficha de desembarque'!$J$16)))</f>
        <v/>
      </c>
      <c r="B163" s="24"/>
      <c r="C163" s="24"/>
      <c r="D163" s="24"/>
      <c r="E163" s="24"/>
      <c r="F163" s="24"/>
      <c r="G163" s="24"/>
      <c r="H163" s="24"/>
      <c r="I163" s="24"/>
      <c r="J163" s="24"/>
      <c r="K163" s="25"/>
      <c r="L163" s="34"/>
      <c r="N163" s="35">
        <f t="shared" si="4"/>
        <v>0</v>
      </c>
      <c r="O163" s="35">
        <f t="shared" si="5"/>
        <v>0</v>
      </c>
    </row>
    <row r="164" spans="1:15" s="9" customFormat="1" ht="18" x14ac:dyDescent="0.25">
      <c r="A164" s="68" t="str">
        <f>IF(LEN(B163)=0,"",CONCATENATE('Ficha de desembarque'!$J$18,"_",'Ficha de desembarque'!$J$20,"_",DAY('Ficha de desembarque'!$J$16),MONTH('Ficha de desembarque'!$J$16),YEAR('Ficha de desembarque'!$J$16)))</f>
        <v/>
      </c>
      <c r="B164" s="22"/>
      <c r="C164" s="22"/>
      <c r="D164" s="22"/>
      <c r="E164" s="22"/>
      <c r="F164" s="22"/>
      <c r="G164" s="22"/>
      <c r="H164" s="22"/>
      <c r="I164" s="22"/>
      <c r="J164" s="22"/>
      <c r="K164" s="23"/>
      <c r="L164" s="34"/>
      <c r="N164" s="35">
        <f t="shared" si="4"/>
        <v>0</v>
      </c>
      <c r="O164" s="35">
        <f t="shared" si="5"/>
        <v>0</v>
      </c>
    </row>
    <row r="165" spans="1:15" s="9" customFormat="1" ht="18" x14ac:dyDescent="0.25">
      <c r="A165" s="69" t="str">
        <f>IF(LEN(B164)=0,"",CONCATENATE('Ficha de desembarque'!$J$18,"_",'Ficha de desembarque'!$J$20,"_",DAY('Ficha de desembarque'!$J$16),MONTH('Ficha de desembarque'!$J$16),YEAR('Ficha de desembarque'!$J$16)))</f>
        <v/>
      </c>
      <c r="B165" s="24"/>
      <c r="C165" s="24"/>
      <c r="D165" s="24"/>
      <c r="E165" s="24"/>
      <c r="F165" s="24"/>
      <c r="G165" s="24"/>
      <c r="H165" s="24"/>
      <c r="I165" s="24"/>
      <c r="J165" s="24"/>
      <c r="K165" s="25"/>
      <c r="L165" s="34"/>
      <c r="N165" s="35">
        <f t="shared" si="4"/>
        <v>0</v>
      </c>
      <c r="O165" s="35">
        <f t="shared" si="5"/>
        <v>0</v>
      </c>
    </row>
    <row r="166" spans="1:15" s="9" customFormat="1" ht="18" x14ac:dyDescent="0.25">
      <c r="A166" s="68" t="str">
        <f>IF(LEN(B165)=0,"",CONCATENATE('Ficha de desembarque'!$J$18,"_",'Ficha de desembarque'!$J$20,"_",DAY('Ficha de desembarque'!$J$16),MONTH('Ficha de desembarque'!$J$16),YEAR('Ficha de desembarque'!$J$16)))</f>
        <v/>
      </c>
      <c r="B166" s="22"/>
      <c r="C166" s="22"/>
      <c r="D166" s="22"/>
      <c r="E166" s="22"/>
      <c r="F166" s="22"/>
      <c r="G166" s="22"/>
      <c r="H166" s="22"/>
      <c r="I166" s="22"/>
      <c r="J166" s="22"/>
      <c r="K166" s="23"/>
      <c r="L166" s="34"/>
      <c r="N166" s="35">
        <f t="shared" si="4"/>
        <v>0</v>
      </c>
      <c r="O166" s="35">
        <f t="shared" si="5"/>
        <v>0</v>
      </c>
    </row>
    <row r="167" spans="1:15" s="9" customFormat="1" ht="18" x14ac:dyDescent="0.25">
      <c r="A167" s="69" t="str">
        <f>IF(LEN(B166)=0,"",CONCATENATE('Ficha de desembarque'!$J$18,"_",'Ficha de desembarque'!$J$20,"_",DAY('Ficha de desembarque'!$J$16),MONTH('Ficha de desembarque'!$J$16),YEAR('Ficha de desembarque'!$J$16)))</f>
        <v/>
      </c>
      <c r="B167" s="24"/>
      <c r="C167" s="24"/>
      <c r="D167" s="24"/>
      <c r="E167" s="24"/>
      <c r="F167" s="24"/>
      <c r="G167" s="24"/>
      <c r="H167" s="24"/>
      <c r="I167" s="24"/>
      <c r="J167" s="24"/>
      <c r="K167" s="25"/>
      <c r="L167" s="34"/>
      <c r="N167" s="35">
        <f t="shared" si="4"/>
        <v>0</v>
      </c>
      <c r="O167" s="35">
        <f t="shared" si="5"/>
        <v>0</v>
      </c>
    </row>
    <row r="168" spans="1:15" s="9" customFormat="1" ht="18" x14ac:dyDescent="0.25">
      <c r="A168" s="68" t="str">
        <f>IF(LEN(B167)=0,"",CONCATENATE('Ficha de desembarque'!$J$18,"_",'Ficha de desembarque'!$J$20,"_",DAY('Ficha de desembarque'!$J$16),MONTH('Ficha de desembarque'!$J$16),YEAR('Ficha de desembarque'!$J$16)))</f>
        <v/>
      </c>
      <c r="B168" s="22"/>
      <c r="C168" s="22"/>
      <c r="D168" s="22"/>
      <c r="E168" s="22"/>
      <c r="F168" s="22"/>
      <c r="G168" s="22"/>
      <c r="H168" s="22"/>
      <c r="I168" s="22"/>
      <c r="J168" s="22"/>
      <c r="K168" s="23"/>
      <c r="L168" s="34"/>
      <c r="N168" s="35">
        <f t="shared" si="4"/>
        <v>0</v>
      </c>
      <c r="O168" s="35">
        <f t="shared" si="5"/>
        <v>0</v>
      </c>
    </row>
    <row r="169" spans="1:15" s="9" customFormat="1" ht="18" x14ac:dyDescent="0.25">
      <c r="A169" s="69" t="str">
        <f>IF(LEN(B168)=0,"",CONCATENATE('Ficha de desembarque'!$J$18,"_",'Ficha de desembarque'!$J$20,"_",DAY('Ficha de desembarque'!$J$16),MONTH('Ficha de desembarque'!$J$16),YEAR('Ficha de desembarque'!$J$16)))</f>
        <v/>
      </c>
      <c r="B169" s="24"/>
      <c r="C169" s="24"/>
      <c r="D169" s="24"/>
      <c r="E169" s="24"/>
      <c r="F169" s="24"/>
      <c r="G169" s="24"/>
      <c r="H169" s="24"/>
      <c r="I169" s="24"/>
      <c r="J169" s="24"/>
      <c r="K169" s="25"/>
      <c r="L169" s="34"/>
      <c r="N169" s="35">
        <f t="shared" si="4"/>
        <v>0</v>
      </c>
      <c r="O169" s="35">
        <f t="shared" si="5"/>
        <v>0</v>
      </c>
    </row>
    <row r="170" spans="1:15" s="9" customFormat="1" ht="18" x14ac:dyDescent="0.25">
      <c r="A170" s="68" t="str">
        <f>IF(LEN(B169)=0,"",CONCATENATE('Ficha de desembarque'!$J$18,"_",'Ficha de desembarque'!$J$20,"_",DAY('Ficha de desembarque'!$J$16),MONTH('Ficha de desembarque'!$J$16),YEAR('Ficha de desembarque'!$J$16)))</f>
        <v/>
      </c>
      <c r="B170" s="22"/>
      <c r="C170" s="22"/>
      <c r="D170" s="22"/>
      <c r="E170" s="22"/>
      <c r="F170" s="22"/>
      <c r="G170" s="22"/>
      <c r="H170" s="22"/>
      <c r="I170" s="22"/>
      <c r="J170" s="22"/>
      <c r="K170" s="23"/>
      <c r="L170" s="34"/>
      <c r="N170" s="35">
        <f t="shared" si="4"/>
        <v>0</v>
      </c>
      <c r="O170" s="35">
        <f t="shared" si="5"/>
        <v>0</v>
      </c>
    </row>
    <row r="171" spans="1:15" s="9" customFormat="1" ht="18" x14ac:dyDescent="0.25">
      <c r="A171" s="69" t="str">
        <f>IF(LEN(B170)=0,"",CONCATENATE('Ficha de desembarque'!$J$18,"_",'Ficha de desembarque'!$J$20,"_",DAY('Ficha de desembarque'!$J$16),MONTH('Ficha de desembarque'!$J$16),YEAR('Ficha de desembarque'!$J$16)))</f>
        <v/>
      </c>
      <c r="B171" s="24"/>
      <c r="C171" s="24"/>
      <c r="D171" s="24"/>
      <c r="E171" s="24"/>
      <c r="F171" s="24"/>
      <c r="G171" s="24"/>
      <c r="H171" s="24"/>
      <c r="I171" s="24"/>
      <c r="J171" s="24"/>
      <c r="K171" s="25"/>
      <c r="L171" s="34"/>
      <c r="N171" s="35">
        <f t="shared" si="4"/>
        <v>0</v>
      </c>
      <c r="O171" s="35">
        <f t="shared" si="5"/>
        <v>0</v>
      </c>
    </row>
    <row r="172" spans="1:15" s="9" customFormat="1" ht="18" x14ac:dyDescent="0.25">
      <c r="A172" s="68" t="str">
        <f>IF(LEN(B171)=0,"",CONCATENATE('Ficha de desembarque'!$J$18,"_",'Ficha de desembarque'!$J$20,"_",DAY('Ficha de desembarque'!$J$16),MONTH('Ficha de desembarque'!$J$16),YEAR('Ficha de desembarque'!$J$16)))</f>
        <v/>
      </c>
      <c r="B172" s="22"/>
      <c r="C172" s="22"/>
      <c r="D172" s="22"/>
      <c r="E172" s="22"/>
      <c r="F172" s="22"/>
      <c r="G172" s="22"/>
      <c r="H172" s="22"/>
      <c r="I172" s="22"/>
      <c r="J172" s="22"/>
      <c r="K172" s="23"/>
      <c r="L172" s="34"/>
      <c r="N172" s="35">
        <f t="shared" si="4"/>
        <v>0</v>
      </c>
      <c r="O172" s="35">
        <f t="shared" si="5"/>
        <v>0</v>
      </c>
    </row>
    <row r="173" spans="1:15" s="9" customFormat="1" ht="18" x14ac:dyDescent="0.25">
      <c r="A173" s="69" t="str">
        <f>IF(LEN(B172)=0,"",CONCATENATE('Ficha de desembarque'!$J$18,"_",'Ficha de desembarque'!$J$20,"_",DAY('Ficha de desembarque'!$J$16),MONTH('Ficha de desembarque'!$J$16),YEAR('Ficha de desembarque'!$J$16)))</f>
        <v/>
      </c>
      <c r="B173" s="24"/>
      <c r="C173" s="24"/>
      <c r="D173" s="24"/>
      <c r="E173" s="24"/>
      <c r="F173" s="24"/>
      <c r="G173" s="24"/>
      <c r="H173" s="24"/>
      <c r="I173" s="24"/>
      <c r="J173" s="24"/>
      <c r="K173" s="25"/>
      <c r="L173" s="34"/>
      <c r="N173" s="35">
        <f t="shared" si="4"/>
        <v>0</v>
      </c>
      <c r="O173" s="35">
        <f t="shared" si="5"/>
        <v>0</v>
      </c>
    </row>
    <row r="174" spans="1:15" s="9" customFormat="1" ht="18" x14ac:dyDescent="0.25">
      <c r="A174" s="68" t="str">
        <f>IF(LEN(B173)=0,"",CONCATENATE('Ficha de desembarque'!$J$18,"_",'Ficha de desembarque'!$J$20,"_",DAY('Ficha de desembarque'!$J$16),MONTH('Ficha de desembarque'!$J$16),YEAR('Ficha de desembarque'!$J$16)))</f>
        <v/>
      </c>
      <c r="B174" s="22"/>
      <c r="C174" s="22"/>
      <c r="D174" s="22"/>
      <c r="E174" s="22"/>
      <c r="F174" s="22"/>
      <c r="G174" s="22"/>
      <c r="H174" s="22"/>
      <c r="I174" s="22"/>
      <c r="J174" s="22"/>
      <c r="K174" s="23"/>
      <c r="L174" s="34"/>
      <c r="N174" s="35">
        <f t="shared" si="4"/>
        <v>0</v>
      </c>
      <c r="O174" s="35">
        <f t="shared" si="5"/>
        <v>0</v>
      </c>
    </row>
    <row r="175" spans="1:15" s="9" customFormat="1" ht="18" x14ac:dyDescent="0.25">
      <c r="A175" s="69" t="str">
        <f>IF(LEN(B174)=0,"",CONCATENATE('Ficha de desembarque'!$J$18,"_",'Ficha de desembarque'!$J$20,"_",DAY('Ficha de desembarque'!$J$16),MONTH('Ficha de desembarque'!$J$16),YEAR('Ficha de desembarque'!$J$16)))</f>
        <v/>
      </c>
      <c r="B175" s="24"/>
      <c r="C175" s="24"/>
      <c r="D175" s="24"/>
      <c r="E175" s="24"/>
      <c r="F175" s="24"/>
      <c r="G175" s="24"/>
      <c r="H175" s="24"/>
      <c r="I175" s="24"/>
      <c r="J175" s="24"/>
      <c r="K175" s="25"/>
      <c r="L175" s="34"/>
      <c r="N175" s="35">
        <f t="shared" si="4"/>
        <v>0</v>
      </c>
      <c r="O175" s="35">
        <f t="shared" si="5"/>
        <v>0</v>
      </c>
    </row>
    <row r="176" spans="1:15" s="9" customFormat="1" ht="18" x14ac:dyDescent="0.25">
      <c r="A176" s="68" t="str">
        <f>IF(LEN(B175)=0,"",CONCATENATE('Ficha de desembarque'!$J$18,"_",'Ficha de desembarque'!$J$20,"_",DAY('Ficha de desembarque'!$J$16),MONTH('Ficha de desembarque'!$J$16),YEAR('Ficha de desembarque'!$J$16)))</f>
        <v/>
      </c>
      <c r="B176" s="22"/>
      <c r="C176" s="22"/>
      <c r="D176" s="22"/>
      <c r="E176" s="22"/>
      <c r="F176" s="22"/>
      <c r="G176" s="22"/>
      <c r="H176" s="22"/>
      <c r="I176" s="22"/>
      <c r="J176" s="22"/>
      <c r="K176" s="23"/>
      <c r="L176" s="34"/>
      <c r="N176" s="35">
        <f t="shared" si="4"/>
        <v>0</v>
      </c>
      <c r="O176" s="35">
        <f t="shared" si="5"/>
        <v>0</v>
      </c>
    </row>
    <row r="177" spans="1:15" s="9" customFormat="1" ht="18" x14ac:dyDescent="0.25">
      <c r="A177" s="69" t="str">
        <f>IF(LEN(B176)=0,"",CONCATENATE('Ficha de desembarque'!$J$18,"_",'Ficha de desembarque'!$J$20,"_",DAY('Ficha de desembarque'!$J$16),MONTH('Ficha de desembarque'!$J$16),YEAR('Ficha de desembarque'!$J$16)))</f>
        <v/>
      </c>
      <c r="B177" s="24"/>
      <c r="C177" s="24"/>
      <c r="D177" s="24"/>
      <c r="E177" s="24"/>
      <c r="F177" s="24"/>
      <c r="G177" s="24"/>
      <c r="H177" s="24"/>
      <c r="I177" s="24"/>
      <c r="J177" s="24"/>
      <c r="K177" s="25"/>
      <c r="L177" s="34"/>
      <c r="N177" s="35">
        <f t="shared" si="4"/>
        <v>0</v>
      </c>
      <c r="O177" s="35">
        <f t="shared" si="5"/>
        <v>0</v>
      </c>
    </row>
    <row r="178" spans="1:15" s="9" customFormat="1" ht="18" x14ac:dyDescent="0.25">
      <c r="A178" s="68" t="str">
        <f>IF(LEN(B177)=0,"",CONCATENATE('Ficha de desembarque'!$J$18,"_",'Ficha de desembarque'!$J$20,"_",DAY('Ficha de desembarque'!$J$16),MONTH('Ficha de desembarque'!$J$16),YEAR('Ficha de desembarque'!$J$16)))</f>
        <v/>
      </c>
      <c r="B178" s="22"/>
      <c r="C178" s="22"/>
      <c r="D178" s="22"/>
      <c r="E178" s="22"/>
      <c r="F178" s="22"/>
      <c r="G178" s="22"/>
      <c r="H178" s="22"/>
      <c r="I178" s="22"/>
      <c r="J178" s="22"/>
      <c r="K178" s="23"/>
      <c r="L178" s="34"/>
      <c r="N178" s="35">
        <f t="shared" si="4"/>
        <v>0</v>
      </c>
      <c r="O178" s="35">
        <f t="shared" si="5"/>
        <v>0</v>
      </c>
    </row>
    <row r="179" spans="1:15" s="9" customFormat="1" ht="18" x14ac:dyDescent="0.25">
      <c r="A179" s="69" t="str">
        <f>IF(LEN(B178)=0,"",CONCATENATE('Ficha de desembarque'!$J$18,"_",'Ficha de desembarque'!$J$20,"_",DAY('Ficha de desembarque'!$J$16),MONTH('Ficha de desembarque'!$J$16),YEAR('Ficha de desembarque'!$J$16)))</f>
        <v/>
      </c>
      <c r="B179" s="24"/>
      <c r="C179" s="24"/>
      <c r="D179" s="24"/>
      <c r="E179" s="24"/>
      <c r="F179" s="24"/>
      <c r="G179" s="24"/>
      <c r="H179" s="24"/>
      <c r="I179" s="24"/>
      <c r="J179" s="24"/>
      <c r="K179" s="25"/>
      <c r="L179" s="34"/>
      <c r="N179" s="35">
        <f t="shared" si="4"/>
        <v>0</v>
      </c>
      <c r="O179" s="35">
        <f t="shared" si="5"/>
        <v>0</v>
      </c>
    </row>
    <row r="180" spans="1:15" s="9" customFormat="1" ht="18" x14ac:dyDescent="0.25">
      <c r="A180" s="68" t="str">
        <f>IF(LEN(B179)=0,"",CONCATENATE('Ficha de desembarque'!$J$18,"_",'Ficha de desembarque'!$J$20,"_",DAY('Ficha de desembarque'!$J$16),MONTH('Ficha de desembarque'!$J$16),YEAR('Ficha de desembarque'!$J$16)))</f>
        <v/>
      </c>
      <c r="B180" s="22"/>
      <c r="C180" s="22"/>
      <c r="D180" s="22"/>
      <c r="E180" s="22"/>
      <c r="F180" s="22"/>
      <c r="G180" s="22"/>
      <c r="H180" s="22"/>
      <c r="I180" s="22"/>
      <c r="J180" s="22"/>
      <c r="K180" s="23"/>
      <c r="L180" s="34"/>
      <c r="N180" s="35">
        <f t="shared" si="4"/>
        <v>0</v>
      </c>
      <c r="O180" s="35">
        <f t="shared" si="5"/>
        <v>0</v>
      </c>
    </row>
    <row r="181" spans="1:15" s="9" customFormat="1" ht="18" x14ac:dyDescent="0.25">
      <c r="A181" s="69" t="str">
        <f>IF(LEN(B180)=0,"",CONCATENATE('Ficha de desembarque'!$J$18,"_",'Ficha de desembarque'!$J$20,"_",DAY('Ficha de desembarque'!$J$16),MONTH('Ficha de desembarque'!$J$16),YEAR('Ficha de desembarque'!$J$16)))</f>
        <v/>
      </c>
      <c r="B181" s="24"/>
      <c r="C181" s="24"/>
      <c r="D181" s="24"/>
      <c r="E181" s="24"/>
      <c r="F181" s="24"/>
      <c r="G181" s="24"/>
      <c r="H181" s="24"/>
      <c r="I181" s="24"/>
      <c r="J181" s="24"/>
      <c r="K181" s="25"/>
      <c r="L181" s="34"/>
      <c r="N181" s="35">
        <f t="shared" si="4"/>
        <v>0</v>
      </c>
      <c r="O181" s="35">
        <f t="shared" si="5"/>
        <v>0</v>
      </c>
    </row>
    <row r="182" spans="1:15" s="9" customFormat="1" ht="18" x14ac:dyDescent="0.25">
      <c r="A182" s="68" t="str">
        <f>IF(LEN(B181)=0,"",CONCATENATE('Ficha de desembarque'!$J$18,"_",'Ficha de desembarque'!$J$20,"_",DAY('Ficha de desembarque'!$J$16),MONTH('Ficha de desembarque'!$J$16),YEAR('Ficha de desembarque'!$J$16)))</f>
        <v/>
      </c>
      <c r="B182" s="22"/>
      <c r="C182" s="22"/>
      <c r="D182" s="22"/>
      <c r="E182" s="22"/>
      <c r="F182" s="22"/>
      <c r="G182" s="22"/>
      <c r="H182" s="22"/>
      <c r="I182" s="22"/>
      <c r="J182" s="22"/>
      <c r="K182" s="23"/>
      <c r="L182" s="34"/>
      <c r="N182" s="35">
        <f t="shared" si="4"/>
        <v>0</v>
      </c>
      <c r="O182" s="35">
        <f t="shared" si="5"/>
        <v>0</v>
      </c>
    </row>
    <row r="183" spans="1:15" s="9" customFormat="1" ht="18" x14ac:dyDescent="0.25">
      <c r="A183" s="69" t="str">
        <f>IF(LEN(B182)=0,"",CONCATENATE('Ficha de desembarque'!$J$18,"_",'Ficha de desembarque'!$J$20,"_",DAY('Ficha de desembarque'!$J$16),MONTH('Ficha de desembarque'!$J$16),YEAR('Ficha de desembarque'!$J$16)))</f>
        <v/>
      </c>
      <c r="B183" s="24"/>
      <c r="C183" s="24"/>
      <c r="D183" s="24"/>
      <c r="E183" s="24"/>
      <c r="F183" s="24"/>
      <c r="G183" s="24"/>
      <c r="H183" s="24"/>
      <c r="I183" s="24"/>
      <c r="J183" s="24"/>
      <c r="K183" s="25"/>
      <c r="L183" s="34"/>
      <c r="N183" s="35">
        <f t="shared" si="4"/>
        <v>0</v>
      </c>
      <c r="O183" s="35">
        <f t="shared" si="5"/>
        <v>0</v>
      </c>
    </row>
    <row r="184" spans="1:15" s="9" customFormat="1" ht="18" x14ac:dyDescent="0.25">
      <c r="A184" s="68" t="str">
        <f>IF(LEN(B183)=0,"",CONCATENATE('Ficha de desembarque'!$J$18,"_",'Ficha de desembarque'!$J$20,"_",DAY('Ficha de desembarque'!$J$16),MONTH('Ficha de desembarque'!$J$16),YEAR('Ficha de desembarque'!$J$16)))</f>
        <v/>
      </c>
      <c r="B184" s="22"/>
      <c r="C184" s="22"/>
      <c r="D184" s="22"/>
      <c r="E184" s="22"/>
      <c r="F184" s="22"/>
      <c r="G184" s="22"/>
      <c r="H184" s="22"/>
      <c r="I184" s="22"/>
      <c r="J184" s="22"/>
      <c r="K184" s="23"/>
      <c r="L184" s="34"/>
      <c r="N184" s="35">
        <f t="shared" si="4"/>
        <v>0</v>
      </c>
      <c r="O184" s="35">
        <f t="shared" si="5"/>
        <v>0</v>
      </c>
    </row>
    <row r="185" spans="1:15" s="9" customFormat="1" ht="18" x14ac:dyDescent="0.25">
      <c r="A185" s="69" t="str">
        <f>IF(LEN(B184)=0,"",CONCATENATE('Ficha de desembarque'!$J$18,"_",'Ficha de desembarque'!$J$20,"_",DAY('Ficha de desembarque'!$J$16),MONTH('Ficha de desembarque'!$J$16),YEAR('Ficha de desembarque'!$J$16)))</f>
        <v/>
      </c>
      <c r="B185" s="24"/>
      <c r="C185" s="24"/>
      <c r="D185" s="24"/>
      <c r="E185" s="24"/>
      <c r="F185" s="24"/>
      <c r="G185" s="24"/>
      <c r="H185" s="24"/>
      <c r="I185" s="24"/>
      <c r="J185" s="24"/>
      <c r="K185" s="25"/>
      <c r="L185" s="34"/>
      <c r="N185" s="35">
        <f t="shared" si="4"/>
        <v>0</v>
      </c>
      <c r="O185" s="35">
        <f t="shared" si="5"/>
        <v>0</v>
      </c>
    </row>
    <row r="186" spans="1:15" s="9" customFormat="1" ht="18" x14ac:dyDescent="0.25">
      <c r="A186" s="68" t="str">
        <f>IF(LEN(B185)=0,"",CONCATENATE('Ficha de desembarque'!$J$18,"_",'Ficha de desembarque'!$J$20,"_",DAY('Ficha de desembarque'!$J$16),MONTH('Ficha de desembarque'!$J$16),YEAR('Ficha de desembarque'!$J$16)))</f>
        <v/>
      </c>
      <c r="B186" s="22"/>
      <c r="C186" s="22"/>
      <c r="D186" s="22"/>
      <c r="E186" s="22"/>
      <c r="F186" s="22"/>
      <c r="G186" s="22"/>
      <c r="H186" s="22"/>
      <c r="I186" s="22"/>
      <c r="J186" s="22"/>
      <c r="K186" s="23"/>
      <c r="L186" s="34"/>
      <c r="N186" s="35">
        <f t="shared" si="4"/>
        <v>0</v>
      </c>
      <c r="O186" s="35">
        <f t="shared" si="5"/>
        <v>0</v>
      </c>
    </row>
    <row r="187" spans="1:15" s="9" customFormat="1" ht="18" x14ac:dyDescent="0.25">
      <c r="A187" s="69" t="str">
        <f>IF(LEN(B186)=0,"",CONCATENATE('Ficha de desembarque'!$J$18,"_",'Ficha de desembarque'!$J$20,"_",DAY('Ficha de desembarque'!$J$16),MONTH('Ficha de desembarque'!$J$16),YEAR('Ficha de desembarque'!$J$16)))</f>
        <v/>
      </c>
      <c r="B187" s="24"/>
      <c r="C187" s="24"/>
      <c r="D187" s="24"/>
      <c r="E187" s="24"/>
      <c r="F187" s="24"/>
      <c r="G187" s="24"/>
      <c r="H187" s="24"/>
      <c r="I187" s="24"/>
      <c r="J187" s="24"/>
      <c r="K187" s="25"/>
      <c r="L187" s="34"/>
      <c r="N187" s="35">
        <f t="shared" si="4"/>
        <v>0</v>
      </c>
      <c r="O187" s="35">
        <f t="shared" si="5"/>
        <v>0</v>
      </c>
    </row>
    <row r="188" spans="1:15" s="9" customFormat="1" ht="18" x14ac:dyDescent="0.25">
      <c r="A188" s="68" t="str">
        <f>IF(LEN(B187)=0,"",CONCATENATE('Ficha de desembarque'!$J$18,"_",'Ficha de desembarque'!$J$20,"_",DAY('Ficha de desembarque'!$J$16),MONTH('Ficha de desembarque'!$J$16),YEAR('Ficha de desembarque'!$J$16)))</f>
        <v/>
      </c>
      <c r="B188" s="22"/>
      <c r="C188" s="22"/>
      <c r="D188" s="22"/>
      <c r="E188" s="22"/>
      <c r="F188" s="22"/>
      <c r="G188" s="22"/>
      <c r="H188" s="22"/>
      <c r="I188" s="22"/>
      <c r="J188" s="22"/>
      <c r="K188" s="23"/>
      <c r="L188" s="34"/>
      <c r="N188" s="35">
        <f t="shared" si="4"/>
        <v>0</v>
      </c>
      <c r="O188" s="35">
        <f t="shared" si="5"/>
        <v>0</v>
      </c>
    </row>
    <row r="189" spans="1:15" s="9" customFormat="1" ht="18" x14ac:dyDescent="0.25">
      <c r="A189" s="69" t="str">
        <f>IF(LEN(B188)=0,"",CONCATENATE('Ficha de desembarque'!$J$18,"_",'Ficha de desembarque'!$J$20,"_",DAY('Ficha de desembarque'!$J$16),MONTH('Ficha de desembarque'!$J$16),YEAR('Ficha de desembarque'!$J$16)))</f>
        <v/>
      </c>
      <c r="B189" s="24"/>
      <c r="C189" s="24"/>
      <c r="D189" s="24"/>
      <c r="E189" s="24"/>
      <c r="F189" s="24"/>
      <c r="G189" s="24"/>
      <c r="H189" s="24"/>
      <c r="I189" s="24"/>
      <c r="J189" s="24"/>
      <c r="K189" s="25"/>
      <c r="L189" s="34"/>
      <c r="N189" s="35">
        <f t="shared" si="4"/>
        <v>0</v>
      </c>
      <c r="O189" s="35">
        <f t="shared" si="5"/>
        <v>0</v>
      </c>
    </row>
    <row r="190" spans="1:15" s="9" customFormat="1" ht="18" x14ac:dyDescent="0.25">
      <c r="A190" s="68" t="str">
        <f>IF(LEN(B189)=0,"",CONCATENATE('Ficha de desembarque'!$J$18,"_",'Ficha de desembarque'!$J$20,"_",DAY('Ficha de desembarque'!$J$16),MONTH('Ficha de desembarque'!$J$16),YEAR('Ficha de desembarque'!$J$16)))</f>
        <v/>
      </c>
      <c r="B190" s="22"/>
      <c r="C190" s="22"/>
      <c r="D190" s="22"/>
      <c r="E190" s="22"/>
      <c r="F190" s="22"/>
      <c r="G190" s="22"/>
      <c r="H190" s="22"/>
      <c r="I190" s="22"/>
      <c r="J190" s="22"/>
      <c r="K190" s="23"/>
      <c r="L190" s="34"/>
      <c r="N190" s="35">
        <f t="shared" si="4"/>
        <v>0</v>
      </c>
      <c r="O190" s="35">
        <f t="shared" si="5"/>
        <v>0</v>
      </c>
    </row>
    <row r="191" spans="1:15" s="9" customFormat="1" ht="18" x14ac:dyDescent="0.25">
      <c r="A191" s="69" t="str">
        <f>IF(LEN(B190)=0,"",CONCATENATE('Ficha de desembarque'!$J$18,"_",'Ficha de desembarque'!$J$20,"_",DAY('Ficha de desembarque'!$J$16),MONTH('Ficha de desembarque'!$J$16),YEAR('Ficha de desembarque'!$J$16)))</f>
        <v/>
      </c>
      <c r="B191" s="24"/>
      <c r="C191" s="24"/>
      <c r="D191" s="24"/>
      <c r="E191" s="24"/>
      <c r="F191" s="24"/>
      <c r="G191" s="24"/>
      <c r="H191" s="24"/>
      <c r="I191" s="24"/>
      <c r="J191" s="24"/>
      <c r="K191" s="25"/>
      <c r="L191" s="34"/>
      <c r="N191" s="35">
        <f t="shared" si="4"/>
        <v>0</v>
      </c>
      <c r="O191" s="35">
        <f t="shared" si="5"/>
        <v>0</v>
      </c>
    </row>
    <row r="192" spans="1:15" s="9" customFormat="1" ht="18" x14ac:dyDescent="0.25">
      <c r="A192" s="68" t="str">
        <f>IF(LEN(B191)=0,"",CONCATENATE('Ficha de desembarque'!$J$18,"_",'Ficha de desembarque'!$J$20,"_",DAY('Ficha de desembarque'!$J$16),MONTH('Ficha de desembarque'!$J$16),YEAR('Ficha de desembarque'!$J$16)))</f>
        <v/>
      </c>
      <c r="B192" s="22"/>
      <c r="C192" s="22"/>
      <c r="D192" s="22"/>
      <c r="E192" s="22"/>
      <c r="F192" s="22"/>
      <c r="G192" s="22"/>
      <c r="H192" s="22"/>
      <c r="I192" s="22"/>
      <c r="J192" s="22"/>
      <c r="K192" s="23"/>
      <c r="L192" s="34"/>
      <c r="N192" s="35">
        <f t="shared" si="4"/>
        <v>0</v>
      </c>
      <c r="O192" s="35">
        <f t="shared" si="5"/>
        <v>0</v>
      </c>
    </row>
    <row r="193" spans="1:15" s="9" customFormat="1" ht="18" x14ac:dyDescent="0.25">
      <c r="A193" s="69" t="str">
        <f>IF(LEN(B192)=0,"",CONCATENATE('Ficha de desembarque'!$J$18,"_",'Ficha de desembarque'!$J$20,"_",DAY('Ficha de desembarque'!$J$16),MONTH('Ficha de desembarque'!$J$16),YEAR('Ficha de desembarque'!$J$16)))</f>
        <v/>
      </c>
      <c r="B193" s="24"/>
      <c r="C193" s="24"/>
      <c r="D193" s="24"/>
      <c r="E193" s="24"/>
      <c r="F193" s="24"/>
      <c r="G193" s="24"/>
      <c r="H193" s="24"/>
      <c r="I193" s="24"/>
      <c r="J193" s="24"/>
      <c r="K193" s="25"/>
      <c r="L193" s="34"/>
      <c r="N193" s="35">
        <f t="shared" si="4"/>
        <v>0</v>
      </c>
      <c r="O193" s="35">
        <f t="shared" si="5"/>
        <v>0</v>
      </c>
    </row>
    <row r="194" spans="1:15" s="9" customFormat="1" ht="18" x14ac:dyDescent="0.25">
      <c r="A194" s="68" t="str">
        <f>IF(LEN(B193)=0,"",CONCATENATE('Ficha de desembarque'!$J$18,"_",'Ficha de desembarque'!$J$20,"_",DAY('Ficha de desembarque'!$J$16),MONTH('Ficha de desembarque'!$J$16),YEAR('Ficha de desembarque'!$J$16)))</f>
        <v/>
      </c>
      <c r="B194" s="22"/>
      <c r="C194" s="22"/>
      <c r="D194" s="22"/>
      <c r="E194" s="22"/>
      <c r="F194" s="22"/>
      <c r="G194" s="22"/>
      <c r="H194" s="22"/>
      <c r="I194" s="22"/>
      <c r="J194" s="22"/>
      <c r="K194" s="23"/>
      <c r="L194" s="34"/>
      <c r="N194" s="35">
        <f t="shared" si="4"/>
        <v>0</v>
      </c>
      <c r="O194" s="35">
        <f t="shared" si="5"/>
        <v>0</v>
      </c>
    </row>
    <row r="195" spans="1:15" s="9" customFormat="1" ht="18" x14ac:dyDescent="0.25">
      <c r="A195" s="69" t="str">
        <f>IF(LEN(B194)=0,"",CONCATENATE('Ficha de desembarque'!$J$18,"_",'Ficha de desembarque'!$J$20,"_",DAY('Ficha de desembarque'!$J$16),MONTH('Ficha de desembarque'!$J$16),YEAR('Ficha de desembarque'!$J$16)))</f>
        <v/>
      </c>
      <c r="B195" s="24"/>
      <c r="C195" s="24"/>
      <c r="D195" s="24"/>
      <c r="E195" s="24"/>
      <c r="F195" s="24"/>
      <c r="G195" s="24"/>
      <c r="H195" s="24"/>
      <c r="I195" s="24"/>
      <c r="J195" s="24"/>
      <c r="K195" s="25"/>
      <c r="L195" s="34"/>
      <c r="N195" s="35">
        <f t="shared" si="4"/>
        <v>0</v>
      </c>
      <c r="O195" s="35">
        <f t="shared" si="5"/>
        <v>0</v>
      </c>
    </row>
    <row r="196" spans="1:15" s="9" customFormat="1" ht="18" x14ac:dyDescent="0.25">
      <c r="A196" s="68" t="str">
        <f>IF(LEN(B195)=0,"",CONCATENATE('Ficha de desembarque'!$J$18,"_",'Ficha de desembarque'!$J$20,"_",DAY('Ficha de desembarque'!$J$16),MONTH('Ficha de desembarque'!$J$16),YEAR('Ficha de desembarque'!$J$16)))</f>
        <v/>
      </c>
      <c r="B196" s="22"/>
      <c r="C196" s="22"/>
      <c r="D196" s="22"/>
      <c r="E196" s="22"/>
      <c r="F196" s="22"/>
      <c r="G196" s="22"/>
      <c r="H196" s="22"/>
      <c r="I196" s="22"/>
      <c r="J196" s="22"/>
      <c r="K196" s="23"/>
      <c r="L196" s="34"/>
      <c r="N196" s="35">
        <f t="shared" si="4"/>
        <v>0</v>
      </c>
      <c r="O196" s="35">
        <f t="shared" si="5"/>
        <v>0</v>
      </c>
    </row>
    <row r="197" spans="1:15" s="9" customFormat="1" ht="18" x14ac:dyDescent="0.25">
      <c r="A197" s="69" t="str">
        <f>IF(LEN(B196)=0,"",CONCATENATE('Ficha de desembarque'!$J$18,"_",'Ficha de desembarque'!$J$20,"_",DAY('Ficha de desembarque'!$J$16),MONTH('Ficha de desembarque'!$J$16),YEAR('Ficha de desembarque'!$J$16)))</f>
        <v/>
      </c>
      <c r="B197" s="24"/>
      <c r="C197" s="24"/>
      <c r="D197" s="24"/>
      <c r="E197" s="24"/>
      <c r="F197" s="24"/>
      <c r="G197" s="24"/>
      <c r="H197" s="24"/>
      <c r="I197" s="24"/>
      <c r="J197" s="24"/>
      <c r="K197" s="25"/>
      <c r="L197" s="34"/>
      <c r="N197" s="35">
        <f t="shared" si="4"/>
        <v>0</v>
      </c>
      <c r="O197" s="35">
        <f t="shared" si="5"/>
        <v>0</v>
      </c>
    </row>
    <row r="198" spans="1:15" s="9" customFormat="1" ht="18" x14ac:dyDescent="0.25">
      <c r="A198" s="68" t="str">
        <f>IF(LEN(B197)=0,"",CONCATENATE('Ficha de desembarque'!$J$18,"_",'Ficha de desembarque'!$J$20,"_",DAY('Ficha de desembarque'!$J$16),MONTH('Ficha de desembarque'!$J$16),YEAR('Ficha de desembarque'!$J$16)))</f>
        <v/>
      </c>
      <c r="B198" s="22"/>
      <c r="C198" s="22"/>
      <c r="D198" s="22"/>
      <c r="E198" s="22"/>
      <c r="F198" s="22"/>
      <c r="G198" s="22"/>
      <c r="H198" s="22"/>
      <c r="I198" s="22"/>
      <c r="J198" s="22"/>
      <c r="K198" s="23"/>
      <c r="L198" s="34"/>
      <c r="N198" s="35">
        <f t="shared" si="4"/>
        <v>0</v>
      </c>
      <c r="O198" s="35">
        <f t="shared" si="5"/>
        <v>0</v>
      </c>
    </row>
    <row r="199" spans="1:15" s="9" customFormat="1" ht="18" x14ac:dyDescent="0.25">
      <c r="A199" s="69" t="str">
        <f>IF(LEN(B198)=0,"",CONCATENATE('Ficha de desembarque'!$J$18,"_",'Ficha de desembarque'!$J$20,"_",DAY('Ficha de desembarque'!$J$16),MONTH('Ficha de desembarque'!$J$16),YEAR('Ficha de desembarque'!$J$16)))</f>
        <v/>
      </c>
      <c r="B199" s="24"/>
      <c r="C199" s="24"/>
      <c r="D199" s="24"/>
      <c r="E199" s="24"/>
      <c r="F199" s="24"/>
      <c r="G199" s="24"/>
      <c r="H199" s="24"/>
      <c r="I199" s="24"/>
      <c r="J199" s="24"/>
      <c r="K199" s="25"/>
      <c r="L199" s="34"/>
      <c r="N199" s="35">
        <f t="shared" si="4"/>
        <v>0</v>
      </c>
      <c r="O199" s="35">
        <f t="shared" si="5"/>
        <v>0</v>
      </c>
    </row>
    <row r="200" spans="1:15" s="9" customFormat="1" ht="18" x14ac:dyDescent="0.25">
      <c r="A200" s="68" t="str">
        <f>IF(LEN(B199)=0,"",CONCATENATE('Ficha de desembarque'!$J$18,"_",'Ficha de desembarque'!$J$20,"_",DAY('Ficha de desembarque'!$J$16),MONTH('Ficha de desembarque'!$J$16),YEAR('Ficha de desembarque'!$J$16)))</f>
        <v/>
      </c>
      <c r="B200" s="22"/>
      <c r="C200" s="22"/>
      <c r="D200" s="22"/>
      <c r="E200" s="22"/>
      <c r="F200" s="22"/>
      <c r="G200" s="22"/>
      <c r="H200" s="22"/>
      <c r="I200" s="22"/>
      <c r="J200" s="22"/>
      <c r="K200" s="23"/>
      <c r="L200" s="34"/>
      <c r="N200" s="35">
        <f t="shared" si="4"/>
        <v>0</v>
      </c>
      <c r="O200" s="35">
        <f t="shared" si="5"/>
        <v>0</v>
      </c>
    </row>
    <row r="201" spans="1:15" s="9" customFormat="1" ht="18" x14ac:dyDescent="0.25">
      <c r="A201" s="69" t="str">
        <f>IF(LEN(B200)=0,"",CONCATENATE('Ficha de desembarque'!$J$18,"_",'Ficha de desembarque'!$J$20,"_",DAY('Ficha de desembarque'!$J$16),MONTH('Ficha de desembarque'!$J$16),YEAR('Ficha de desembarque'!$J$16)))</f>
        <v/>
      </c>
      <c r="B201" s="24"/>
      <c r="C201" s="24"/>
      <c r="D201" s="24"/>
      <c r="E201" s="24"/>
      <c r="F201" s="24"/>
      <c r="G201" s="24"/>
      <c r="H201" s="24"/>
      <c r="I201" s="24"/>
      <c r="J201" s="24"/>
      <c r="K201" s="25"/>
      <c r="L201" s="34"/>
      <c r="N201" s="35">
        <f t="shared" si="4"/>
        <v>0</v>
      </c>
      <c r="O201" s="35">
        <f t="shared" si="5"/>
        <v>0</v>
      </c>
    </row>
    <row r="202" spans="1:15" s="9" customFormat="1" ht="18" x14ac:dyDescent="0.25">
      <c r="A202" s="68" t="str">
        <f>IF(LEN(B201)=0,"",CONCATENATE('Ficha de desembarque'!$J$18,"_",'Ficha de desembarque'!$J$20,"_",DAY('Ficha de desembarque'!$J$16),MONTH('Ficha de desembarque'!$J$16),YEAR('Ficha de desembarque'!$J$16)))</f>
        <v/>
      </c>
      <c r="B202" s="22"/>
      <c r="C202" s="22"/>
      <c r="D202" s="22"/>
      <c r="E202" s="22"/>
      <c r="F202" s="22"/>
      <c r="G202" s="22"/>
      <c r="H202" s="22"/>
      <c r="I202" s="22"/>
      <c r="J202" s="22"/>
      <c r="K202" s="23"/>
      <c r="L202" s="34"/>
      <c r="N202" s="35">
        <f t="shared" si="4"/>
        <v>0</v>
      </c>
      <c r="O202" s="35">
        <f t="shared" si="5"/>
        <v>0</v>
      </c>
    </row>
    <row r="203" spans="1:15" s="9" customFormat="1" ht="18" x14ac:dyDescent="0.25">
      <c r="A203" s="69" t="str">
        <f>IF(LEN(B202)=0,"",CONCATENATE('Ficha de desembarque'!$J$18,"_",'Ficha de desembarque'!$J$20,"_",DAY('Ficha de desembarque'!$J$16),MONTH('Ficha de desembarque'!$J$16),YEAR('Ficha de desembarque'!$J$16)))</f>
        <v/>
      </c>
      <c r="B203" s="24"/>
      <c r="C203" s="24"/>
      <c r="D203" s="24"/>
      <c r="E203" s="24"/>
      <c r="F203" s="24"/>
      <c r="G203" s="24"/>
      <c r="H203" s="24"/>
      <c r="I203" s="24"/>
      <c r="J203" s="24"/>
      <c r="K203" s="25"/>
      <c r="L203" s="34"/>
      <c r="N203" s="35">
        <f t="shared" si="4"/>
        <v>0</v>
      </c>
      <c r="O203" s="35">
        <f t="shared" si="5"/>
        <v>0</v>
      </c>
    </row>
    <row r="204" spans="1:15" s="9" customFormat="1" ht="18" x14ac:dyDescent="0.25">
      <c r="A204" s="68" t="str">
        <f>IF(LEN(B203)=0,"",CONCATENATE('Ficha de desembarque'!$J$18,"_",'Ficha de desembarque'!$J$20,"_",DAY('Ficha de desembarque'!$J$16),MONTH('Ficha de desembarque'!$J$16),YEAR('Ficha de desembarque'!$J$16)))</f>
        <v/>
      </c>
      <c r="B204" s="22"/>
      <c r="C204" s="22"/>
      <c r="D204" s="22"/>
      <c r="E204" s="22"/>
      <c r="F204" s="22"/>
      <c r="G204" s="22"/>
      <c r="H204" s="22"/>
      <c r="I204" s="22"/>
      <c r="J204" s="22"/>
      <c r="K204" s="23"/>
      <c r="L204" s="34"/>
      <c r="N204" s="35">
        <f t="shared" ref="N204:N267" si="6">MAX(0,D204)</f>
        <v>0</v>
      </c>
      <c r="O204" s="35">
        <f t="shared" ref="O204:O267" si="7">MAX(0,F204)</f>
        <v>0</v>
      </c>
    </row>
    <row r="205" spans="1:15" s="9" customFormat="1" ht="18" x14ac:dyDescent="0.25">
      <c r="A205" s="69" t="str">
        <f>IF(LEN(B204)=0,"",CONCATENATE('Ficha de desembarque'!$J$18,"_",'Ficha de desembarque'!$J$20,"_",DAY('Ficha de desembarque'!$J$16),MONTH('Ficha de desembarque'!$J$16),YEAR('Ficha de desembarque'!$J$16)))</f>
        <v/>
      </c>
      <c r="B205" s="24"/>
      <c r="C205" s="24"/>
      <c r="D205" s="24"/>
      <c r="E205" s="24"/>
      <c r="F205" s="24"/>
      <c r="G205" s="24"/>
      <c r="H205" s="24"/>
      <c r="I205" s="24"/>
      <c r="J205" s="24"/>
      <c r="K205" s="25"/>
      <c r="L205" s="34"/>
      <c r="N205" s="35">
        <f t="shared" si="6"/>
        <v>0</v>
      </c>
      <c r="O205" s="35">
        <f t="shared" si="7"/>
        <v>0</v>
      </c>
    </row>
    <row r="206" spans="1:15" s="9" customFormat="1" ht="18" x14ac:dyDescent="0.25">
      <c r="A206" s="68" t="str">
        <f>IF(LEN(B205)=0,"",CONCATENATE('Ficha de desembarque'!$J$18,"_",'Ficha de desembarque'!$J$20,"_",DAY('Ficha de desembarque'!$J$16),MONTH('Ficha de desembarque'!$J$16),YEAR('Ficha de desembarque'!$J$16)))</f>
        <v/>
      </c>
      <c r="B206" s="22"/>
      <c r="C206" s="22"/>
      <c r="D206" s="22"/>
      <c r="E206" s="22"/>
      <c r="F206" s="22"/>
      <c r="G206" s="22"/>
      <c r="H206" s="22"/>
      <c r="I206" s="22"/>
      <c r="J206" s="22"/>
      <c r="K206" s="23"/>
      <c r="L206" s="34"/>
      <c r="N206" s="35">
        <f t="shared" si="6"/>
        <v>0</v>
      </c>
      <c r="O206" s="35">
        <f t="shared" si="7"/>
        <v>0</v>
      </c>
    </row>
    <row r="207" spans="1:15" s="9" customFormat="1" ht="18" x14ac:dyDescent="0.25">
      <c r="A207" s="69" t="str">
        <f>IF(LEN(B206)=0,"",CONCATENATE('Ficha de desembarque'!$J$18,"_",'Ficha de desembarque'!$J$20,"_",DAY('Ficha de desembarque'!$J$16),MONTH('Ficha de desembarque'!$J$16),YEAR('Ficha de desembarque'!$J$16)))</f>
        <v/>
      </c>
      <c r="B207" s="24"/>
      <c r="C207" s="24"/>
      <c r="D207" s="24"/>
      <c r="E207" s="24"/>
      <c r="F207" s="24"/>
      <c r="G207" s="24"/>
      <c r="H207" s="24"/>
      <c r="I207" s="24"/>
      <c r="J207" s="24"/>
      <c r="K207" s="25"/>
      <c r="L207" s="34"/>
      <c r="N207" s="35">
        <f t="shared" si="6"/>
        <v>0</v>
      </c>
      <c r="O207" s="35">
        <f t="shared" si="7"/>
        <v>0</v>
      </c>
    </row>
    <row r="208" spans="1:15" s="9" customFormat="1" ht="18" x14ac:dyDescent="0.25">
      <c r="A208" s="68" t="str">
        <f>IF(LEN(B207)=0,"",CONCATENATE('Ficha de desembarque'!$J$18,"_",'Ficha de desembarque'!$J$20,"_",DAY('Ficha de desembarque'!$J$16),MONTH('Ficha de desembarque'!$J$16),YEAR('Ficha de desembarque'!$J$16)))</f>
        <v/>
      </c>
      <c r="B208" s="22"/>
      <c r="C208" s="22"/>
      <c r="D208" s="22"/>
      <c r="E208" s="22"/>
      <c r="F208" s="22"/>
      <c r="G208" s="22"/>
      <c r="H208" s="22"/>
      <c r="I208" s="22"/>
      <c r="J208" s="22"/>
      <c r="K208" s="23"/>
      <c r="L208" s="34"/>
      <c r="N208" s="35">
        <f t="shared" si="6"/>
        <v>0</v>
      </c>
      <c r="O208" s="35">
        <f t="shared" si="7"/>
        <v>0</v>
      </c>
    </row>
    <row r="209" spans="1:15" s="9" customFormat="1" ht="18" x14ac:dyDescent="0.25">
      <c r="A209" s="69" t="str">
        <f>IF(LEN(B208)=0,"",CONCATENATE('Ficha de desembarque'!$J$18,"_",'Ficha de desembarque'!$J$20,"_",DAY('Ficha de desembarque'!$J$16),MONTH('Ficha de desembarque'!$J$16),YEAR('Ficha de desembarque'!$J$16)))</f>
        <v/>
      </c>
      <c r="B209" s="24"/>
      <c r="C209" s="24"/>
      <c r="D209" s="24"/>
      <c r="E209" s="24"/>
      <c r="F209" s="24"/>
      <c r="G209" s="24"/>
      <c r="H209" s="24"/>
      <c r="I209" s="24"/>
      <c r="J209" s="24"/>
      <c r="K209" s="25"/>
      <c r="L209" s="34"/>
      <c r="N209" s="35">
        <f t="shared" si="6"/>
        <v>0</v>
      </c>
      <c r="O209" s="35">
        <f t="shared" si="7"/>
        <v>0</v>
      </c>
    </row>
    <row r="210" spans="1:15" s="9" customFormat="1" ht="18" x14ac:dyDescent="0.25">
      <c r="A210" s="68" t="str">
        <f>IF(LEN(B209)=0,"",CONCATENATE('Ficha de desembarque'!$J$18,"_",'Ficha de desembarque'!$J$20,"_",DAY('Ficha de desembarque'!$J$16),MONTH('Ficha de desembarque'!$J$16),YEAR('Ficha de desembarque'!$J$16)))</f>
        <v/>
      </c>
      <c r="B210" s="22"/>
      <c r="C210" s="22"/>
      <c r="D210" s="22"/>
      <c r="E210" s="22"/>
      <c r="F210" s="22"/>
      <c r="G210" s="22"/>
      <c r="H210" s="22"/>
      <c r="I210" s="22"/>
      <c r="J210" s="22"/>
      <c r="K210" s="23"/>
      <c r="L210" s="34"/>
      <c r="N210" s="35">
        <f t="shared" si="6"/>
        <v>0</v>
      </c>
      <c r="O210" s="35">
        <f t="shared" si="7"/>
        <v>0</v>
      </c>
    </row>
    <row r="211" spans="1:15" s="9" customFormat="1" ht="18" x14ac:dyDescent="0.25">
      <c r="A211" s="69" t="str">
        <f>IF(LEN(B210)=0,"",CONCATENATE('Ficha de desembarque'!$J$18,"_",'Ficha de desembarque'!$J$20,"_",DAY('Ficha de desembarque'!$J$16),MONTH('Ficha de desembarque'!$J$16),YEAR('Ficha de desembarque'!$J$16)))</f>
        <v/>
      </c>
      <c r="B211" s="24"/>
      <c r="C211" s="24"/>
      <c r="D211" s="24"/>
      <c r="E211" s="24"/>
      <c r="F211" s="24"/>
      <c r="G211" s="24"/>
      <c r="H211" s="24"/>
      <c r="I211" s="24"/>
      <c r="J211" s="24"/>
      <c r="K211" s="25"/>
      <c r="L211" s="34"/>
      <c r="N211" s="35">
        <f t="shared" si="6"/>
        <v>0</v>
      </c>
      <c r="O211" s="35">
        <f t="shared" si="7"/>
        <v>0</v>
      </c>
    </row>
    <row r="212" spans="1:15" s="9" customFormat="1" ht="18" x14ac:dyDescent="0.25">
      <c r="A212" s="68" t="str">
        <f>IF(LEN(B211)=0,"",CONCATENATE('Ficha de desembarque'!$J$18,"_",'Ficha de desembarque'!$J$20,"_",DAY('Ficha de desembarque'!$J$16),MONTH('Ficha de desembarque'!$J$16),YEAR('Ficha de desembarque'!$J$16)))</f>
        <v/>
      </c>
      <c r="B212" s="22"/>
      <c r="C212" s="22"/>
      <c r="D212" s="22"/>
      <c r="E212" s="22"/>
      <c r="F212" s="22"/>
      <c r="G212" s="22"/>
      <c r="H212" s="22"/>
      <c r="I212" s="22"/>
      <c r="J212" s="22"/>
      <c r="K212" s="23"/>
      <c r="L212" s="34"/>
      <c r="N212" s="35">
        <f t="shared" si="6"/>
        <v>0</v>
      </c>
      <c r="O212" s="35">
        <f t="shared" si="7"/>
        <v>0</v>
      </c>
    </row>
    <row r="213" spans="1:15" s="9" customFormat="1" ht="18" x14ac:dyDescent="0.25">
      <c r="A213" s="69" t="str">
        <f>IF(LEN(B212)=0,"",CONCATENATE('Ficha de desembarque'!$J$18,"_",'Ficha de desembarque'!$J$20,"_",DAY('Ficha de desembarque'!$J$16),MONTH('Ficha de desembarque'!$J$16),YEAR('Ficha de desembarque'!$J$16)))</f>
        <v/>
      </c>
      <c r="B213" s="24"/>
      <c r="C213" s="24"/>
      <c r="D213" s="24"/>
      <c r="E213" s="24"/>
      <c r="F213" s="24"/>
      <c r="G213" s="24"/>
      <c r="H213" s="24"/>
      <c r="I213" s="24"/>
      <c r="J213" s="24"/>
      <c r="K213" s="25"/>
      <c r="L213" s="34"/>
      <c r="N213" s="35">
        <f t="shared" si="6"/>
        <v>0</v>
      </c>
      <c r="O213" s="35">
        <f t="shared" si="7"/>
        <v>0</v>
      </c>
    </row>
    <row r="214" spans="1:15" s="9" customFormat="1" ht="18" x14ac:dyDescent="0.25">
      <c r="A214" s="68" t="str">
        <f>IF(LEN(B213)=0,"",CONCATENATE('Ficha de desembarque'!$J$18,"_",'Ficha de desembarque'!$J$20,"_",DAY('Ficha de desembarque'!$J$16),MONTH('Ficha de desembarque'!$J$16),YEAR('Ficha de desembarque'!$J$16)))</f>
        <v/>
      </c>
      <c r="B214" s="22"/>
      <c r="C214" s="22"/>
      <c r="D214" s="22"/>
      <c r="E214" s="22"/>
      <c r="F214" s="22"/>
      <c r="G214" s="22"/>
      <c r="H214" s="22"/>
      <c r="I214" s="22"/>
      <c r="J214" s="22"/>
      <c r="K214" s="23"/>
      <c r="L214" s="34"/>
      <c r="N214" s="35">
        <f t="shared" si="6"/>
        <v>0</v>
      </c>
      <c r="O214" s="35">
        <f t="shared" si="7"/>
        <v>0</v>
      </c>
    </row>
    <row r="215" spans="1:15" s="9" customFormat="1" ht="18" x14ac:dyDescent="0.25">
      <c r="A215" s="69" t="str">
        <f>IF(LEN(B214)=0,"",CONCATENATE('Ficha de desembarque'!$J$18,"_",'Ficha de desembarque'!$J$20,"_",DAY('Ficha de desembarque'!$J$16),MONTH('Ficha de desembarque'!$J$16),YEAR('Ficha de desembarque'!$J$16)))</f>
        <v/>
      </c>
      <c r="B215" s="24"/>
      <c r="C215" s="24"/>
      <c r="D215" s="24"/>
      <c r="E215" s="24"/>
      <c r="F215" s="24"/>
      <c r="G215" s="24"/>
      <c r="H215" s="24"/>
      <c r="I215" s="24"/>
      <c r="J215" s="24"/>
      <c r="K215" s="25"/>
      <c r="L215" s="34"/>
      <c r="N215" s="35">
        <f t="shared" si="6"/>
        <v>0</v>
      </c>
      <c r="O215" s="35">
        <f t="shared" si="7"/>
        <v>0</v>
      </c>
    </row>
    <row r="216" spans="1:15" s="9" customFormat="1" ht="18" x14ac:dyDescent="0.25">
      <c r="A216" s="68" t="str">
        <f>IF(LEN(B215)=0,"",CONCATENATE('Ficha de desembarque'!$J$18,"_",'Ficha de desembarque'!$J$20,"_",DAY('Ficha de desembarque'!$J$16),MONTH('Ficha de desembarque'!$J$16),YEAR('Ficha de desembarque'!$J$16)))</f>
        <v/>
      </c>
      <c r="B216" s="22"/>
      <c r="C216" s="22"/>
      <c r="D216" s="22"/>
      <c r="E216" s="22"/>
      <c r="F216" s="22"/>
      <c r="G216" s="22"/>
      <c r="H216" s="22"/>
      <c r="I216" s="22"/>
      <c r="J216" s="22"/>
      <c r="K216" s="23"/>
      <c r="L216" s="34"/>
      <c r="N216" s="35">
        <f t="shared" si="6"/>
        <v>0</v>
      </c>
      <c r="O216" s="35">
        <f t="shared" si="7"/>
        <v>0</v>
      </c>
    </row>
    <row r="217" spans="1:15" s="9" customFormat="1" ht="18" x14ac:dyDescent="0.25">
      <c r="A217" s="69" t="str">
        <f>IF(LEN(B216)=0,"",CONCATENATE('Ficha de desembarque'!$J$18,"_",'Ficha de desembarque'!$J$20,"_",DAY('Ficha de desembarque'!$J$16),MONTH('Ficha de desembarque'!$J$16),YEAR('Ficha de desembarque'!$J$16)))</f>
        <v/>
      </c>
      <c r="B217" s="24"/>
      <c r="C217" s="24"/>
      <c r="D217" s="24"/>
      <c r="E217" s="24"/>
      <c r="F217" s="24"/>
      <c r="G217" s="24"/>
      <c r="H217" s="24"/>
      <c r="I217" s="24"/>
      <c r="J217" s="24"/>
      <c r="K217" s="25"/>
      <c r="L217" s="34"/>
      <c r="N217" s="35">
        <f t="shared" si="6"/>
        <v>0</v>
      </c>
      <c r="O217" s="35">
        <f t="shared" si="7"/>
        <v>0</v>
      </c>
    </row>
    <row r="218" spans="1:15" s="9" customFormat="1" ht="18" x14ac:dyDescent="0.25">
      <c r="A218" s="68" t="str">
        <f>IF(LEN(B217)=0,"",CONCATENATE('Ficha de desembarque'!$J$18,"_",'Ficha de desembarque'!$J$20,"_",DAY('Ficha de desembarque'!$J$16),MONTH('Ficha de desembarque'!$J$16),YEAR('Ficha de desembarque'!$J$16)))</f>
        <v/>
      </c>
      <c r="B218" s="22"/>
      <c r="C218" s="22"/>
      <c r="D218" s="22"/>
      <c r="E218" s="22"/>
      <c r="F218" s="22"/>
      <c r="G218" s="22"/>
      <c r="H218" s="22"/>
      <c r="I218" s="22"/>
      <c r="J218" s="22"/>
      <c r="K218" s="23"/>
      <c r="L218" s="34"/>
      <c r="N218" s="35">
        <f t="shared" si="6"/>
        <v>0</v>
      </c>
      <c r="O218" s="35">
        <f t="shared" si="7"/>
        <v>0</v>
      </c>
    </row>
    <row r="219" spans="1:15" s="9" customFormat="1" ht="18" x14ac:dyDescent="0.25">
      <c r="A219" s="69" t="str">
        <f>IF(LEN(B218)=0,"",CONCATENATE('Ficha de desembarque'!$J$18,"_",'Ficha de desembarque'!$J$20,"_",DAY('Ficha de desembarque'!$J$16),MONTH('Ficha de desembarque'!$J$16),YEAR('Ficha de desembarque'!$J$16)))</f>
        <v/>
      </c>
      <c r="B219" s="24"/>
      <c r="C219" s="24"/>
      <c r="D219" s="24"/>
      <c r="E219" s="24"/>
      <c r="F219" s="24"/>
      <c r="G219" s="24"/>
      <c r="H219" s="24"/>
      <c r="I219" s="24"/>
      <c r="J219" s="24"/>
      <c r="K219" s="25"/>
      <c r="L219" s="34"/>
      <c r="N219" s="35">
        <f t="shared" si="6"/>
        <v>0</v>
      </c>
      <c r="O219" s="35">
        <f t="shared" si="7"/>
        <v>0</v>
      </c>
    </row>
    <row r="220" spans="1:15" s="9" customFormat="1" ht="18" x14ac:dyDescent="0.25">
      <c r="A220" s="68" t="str">
        <f>IF(LEN(B219)=0,"",CONCATENATE('Ficha de desembarque'!$J$18,"_",'Ficha de desembarque'!$J$20,"_",DAY('Ficha de desembarque'!$J$16),MONTH('Ficha de desembarque'!$J$16),YEAR('Ficha de desembarque'!$J$16)))</f>
        <v/>
      </c>
      <c r="B220" s="22"/>
      <c r="C220" s="22"/>
      <c r="D220" s="22"/>
      <c r="E220" s="22"/>
      <c r="F220" s="22"/>
      <c r="G220" s="22"/>
      <c r="H220" s="22"/>
      <c r="I220" s="22"/>
      <c r="J220" s="22"/>
      <c r="K220" s="23"/>
      <c r="L220" s="34"/>
      <c r="N220" s="35">
        <f t="shared" si="6"/>
        <v>0</v>
      </c>
      <c r="O220" s="35">
        <f t="shared" si="7"/>
        <v>0</v>
      </c>
    </row>
    <row r="221" spans="1:15" s="9" customFormat="1" ht="18" x14ac:dyDescent="0.25">
      <c r="A221" s="69" t="str">
        <f>IF(LEN(B220)=0,"",CONCATENATE('Ficha de desembarque'!$J$18,"_",'Ficha de desembarque'!$J$20,"_",DAY('Ficha de desembarque'!$J$16),MONTH('Ficha de desembarque'!$J$16),YEAR('Ficha de desembarque'!$J$16)))</f>
        <v/>
      </c>
      <c r="B221" s="24"/>
      <c r="C221" s="24"/>
      <c r="D221" s="24"/>
      <c r="E221" s="24"/>
      <c r="F221" s="24"/>
      <c r="G221" s="24"/>
      <c r="H221" s="24"/>
      <c r="I221" s="24"/>
      <c r="J221" s="24"/>
      <c r="K221" s="25"/>
      <c r="L221" s="34"/>
      <c r="N221" s="35">
        <f t="shared" si="6"/>
        <v>0</v>
      </c>
      <c r="O221" s="35">
        <f t="shared" si="7"/>
        <v>0</v>
      </c>
    </row>
    <row r="222" spans="1:15" s="9" customFormat="1" ht="18" x14ac:dyDescent="0.25">
      <c r="A222" s="68" t="str">
        <f>IF(LEN(B221)=0,"",CONCATENATE('Ficha de desembarque'!$J$18,"_",'Ficha de desembarque'!$J$20,"_",DAY('Ficha de desembarque'!$J$16),MONTH('Ficha de desembarque'!$J$16),YEAR('Ficha de desembarque'!$J$16)))</f>
        <v/>
      </c>
      <c r="B222" s="22"/>
      <c r="C222" s="22"/>
      <c r="D222" s="22"/>
      <c r="E222" s="22"/>
      <c r="F222" s="22"/>
      <c r="G222" s="22"/>
      <c r="H222" s="22"/>
      <c r="I222" s="22"/>
      <c r="J222" s="22"/>
      <c r="K222" s="23"/>
      <c r="L222" s="34"/>
      <c r="N222" s="35">
        <f t="shared" si="6"/>
        <v>0</v>
      </c>
      <c r="O222" s="35">
        <f t="shared" si="7"/>
        <v>0</v>
      </c>
    </row>
    <row r="223" spans="1:15" s="9" customFormat="1" ht="18" x14ac:dyDescent="0.25">
      <c r="A223" s="69" t="str">
        <f>IF(LEN(B222)=0,"",CONCATENATE('Ficha de desembarque'!$J$18,"_",'Ficha de desembarque'!$J$20,"_",DAY('Ficha de desembarque'!$J$16),MONTH('Ficha de desembarque'!$J$16),YEAR('Ficha de desembarque'!$J$16)))</f>
        <v/>
      </c>
      <c r="B223" s="24"/>
      <c r="C223" s="24"/>
      <c r="D223" s="24"/>
      <c r="E223" s="24"/>
      <c r="F223" s="24"/>
      <c r="G223" s="24"/>
      <c r="H223" s="24"/>
      <c r="I223" s="24"/>
      <c r="J223" s="24"/>
      <c r="K223" s="25"/>
      <c r="L223" s="34"/>
      <c r="N223" s="35">
        <f t="shared" si="6"/>
        <v>0</v>
      </c>
      <c r="O223" s="35">
        <f t="shared" si="7"/>
        <v>0</v>
      </c>
    </row>
    <row r="224" spans="1:15" s="9" customFormat="1" ht="18" x14ac:dyDescent="0.25">
      <c r="A224" s="68" t="str">
        <f>IF(LEN(B223)=0,"",CONCATENATE('Ficha de desembarque'!$J$18,"_",'Ficha de desembarque'!$J$20,"_",DAY('Ficha de desembarque'!$J$16),MONTH('Ficha de desembarque'!$J$16),YEAR('Ficha de desembarque'!$J$16)))</f>
        <v/>
      </c>
      <c r="B224" s="22"/>
      <c r="C224" s="22"/>
      <c r="D224" s="22"/>
      <c r="E224" s="22"/>
      <c r="F224" s="22"/>
      <c r="G224" s="22"/>
      <c r="H224" s="22"/>
      <c r="I224" s="22"/>
      <c r="J224" s="22"/>
      <c r="K224" s="23"/>
      <c r="L224" s="34"/>
      <c r="N224" s="35">
        <f t="shared" si="6"/>
        <v>0</v>
      </c>
      <c r="O224" s="35">
        <f t="shared" si="7"/>
        <v>0</v>
      </c>
    </row>
    <row r="225" spans="1:15" s="9" customFormat="1" ht="18" x14ac:dyDescent="0.25">
      <c r="A225" s="69" t="str">
        <f>IF(LEN(B224)=0,"",CONCATENATE('Ficha de desembarque'!$J$18,"_",'Ficha de desembarque'!$J$20,"_",DAY('Ficha de desembarque'!$J$16),MONTH('Ficha de desembarque'!$J$16),YEAR('Ficha de desembarque'!$J$16)))</f>
        <v/>
      </c>
      <c r="B225" s="24"/>
      <c r="C225" s="24"/>
      <c r="D225" s="24"/>
      <c r="E225" s="24"/>
      <c r="F225" s="24"/>
      <c r="G225" s="24"/>
      <c r="H225" s="24"/>
      <c r="I225" s="24"/>
      <c r="J225" s="24"/>
      <c r="K225" s="25"/>
      <c r="L225" s="34"/>
      <c r="N225" s="35">
        <f t="shared" si="6"/>
        <v>0</v>
      </c>
      <c r="O225" s="35">
        <f t="shared" si="7"/>
        <v>0</v>
      </c>
    </row>
    <row r="226" spans="1:15" s="9" customFormat="1" ht="18" x14ac:dyDescent="0.25">
      <c r="A226" s="68" t="str">
        <f>IF(LEN(B225)=0,"",CONCATENATE('Ficha de desembarque'!$J$18,"_",'Ficha de desembarque'!$J$20,"_",DAY('Ficha de desembarque'!$J$16),MONTH('Ficha de desembarque'!$J$16),YEAR('Ficha de desembarque'!$J$16)))</f>
        <v/>
      </c>
      <c r="B226" s="22"/>
      <c r="C226" s="22"/>
      <c r="D226" s="22"/>
      <c r="E226" s="22"/>
      <c r="F226" s="22"/>
      <c r="G226" s="22"/>
      <c r="H226" s="22"/>
      <c r="I226" s="22"/>
      <c r="J226" s="22"/>
      <c r="K226" s="23"/>
      <c r="L226" s="34"/>
      <c r="N226" s="35">
        <f t="shared" si="6"/>
        <v>0</v>
      </c>
      <c r="O226" s="35">
        <f t="shared" si="7"/>
        <v>0</v>
      </c>
    </row>
    <row r="227" spans="1:15" s="9" customFormat="1" ht="18" x14ac:dyDescent="0.25">
      <c r="A227" s="69" t="str">
        <f>IF(LEN(B226)=0,"",CONCATENATE('Ficha de desembarque'!$J$18,"_",'Ficha de desembarque'!$J$20,"_",DAY('Ficha de desembarque'!$J$16),MONTH('Ficha de desembarque'!$J$16),YEAR('Ficha de desembarque'!$J$16)))</f>
        <v/>
      </c>
      <c r="B227" s="24"/>
      <c r="C227" s="24"/>
      <c r="D227" s="24"/>
      <c r="E227" s="24"/>
      <c r="F227" s="24"/>
      <c r="G227" s="24"/>
      <c r="H227" s="24"/>
      <c r="I227" s="24"/>
      <c r="J227" s="24"/>
      <c r="K227" s="25"/>
      <c r="L227" s="34"/>
      <c r="N227" s="35">
        <f t="shared" si="6"/>
        <v>0</v>
      </c>
      <c r="O227" s="35">
        <f t="shared" si="7"/>
        <v>0</v>
      </c>
    </row>
    <row r="228" spans="1:15" s="9" customFormat="1" ht="18" x14ac:dyDescent="0.25">
      <c r="A228" s="68" t="str">
        <f>IF(LEN(B227)=0,"",CONCATENATE('Ficha de desembarque'!$J$18,"_",'Ficha de desembarque'!$J$20,"_",DAY('Ficha de desembarque'!$J$16),MONTH('Ficha de desembarque'!$J$16),YEAR('Ficha de desembarque'!$J$16)))</f>
        <v/>
      </c>
      <c r="B228" s="22"/>
      <c r="C228" s="22"/>
      <c r="D228" s="22"/>
      <c r="E228" s="22"/>
      <c r="F228" s="22"/>
      <c r="G228" s="22"/>
      <c r="H228" s="22"/>
      <c r="I228" s="22"/>
      <c r="J228" s="22"/>
      <c r="K228" s="23"/>
      <c r="L228" s="34"/>
      <c r="N228" s="35">
        <f t="shared" si="6"/>
        <v>0</v>
      </c>
      <c r="O228" s="35">
        <f t="shared" si="7"/>
        <v>0</v>
      </c>
    </row>
    <row r="229" spans="1:15" s="9" customFormat="1" ht="18" x14ac:dyDescent="0.25">
      <c r="A229" s="69" t="str">
        <f>IF(LEN(B228)=0,"",CONCATENATE('Ficha de desembarque'!$J$18,"_",'Ficha de desembarque'!$J$20,"_",DAY('Ficha de desembarque'!$J$16),MONTH('Ficha de desembarque'!$J$16),YEAR('Ficha de desembarque'!$J$16)))</f>
        <v/>
      </c>
      <c r="B229" s="24"/>
      <c r="C229" s="24"/>
      <c r="D229" s="24"/>
      <c r="E229" s="24"/>
      <c r="F229" s="24"/>
      <c r="G229" s="24"/>
      <c r="H229" s="24"/>
      <c r="I229" s="24"/>
      <c r="J229" s="24"/>
      <c r="K229" s="25"/>
      <c r="L229" s="34"/>
      <c r="N229" s="35">
        <f t="shared" si="6"/>
        <v>0</v>
      </c>
      <c r="O229" s="35">
        <f t="shared" si="7"/>
        <v>0</v>
      </c>
    </row>
    <row r="230" spans="1:15" s="9" customFormat="1" ht="18" x14ac:dyDescent="0.25">
      <c r="A230" s="68" t="str">
        <f>IF(LEN(B229)=0,"",CONCATENATE('Ficha de desembarque'!$J$18,"_",'Ficha de desembarque'!$J$20,"_",DAY('Ficha de desembarque'!$J$16),MONTH('Ficha de desembarque'!$J$16),YEAR('Ficha de desembarque'!$J$16)))</f>
        <v/>
      </c>
      <c r="B230" s="22"/>
      <c r="C230" s="22"/>
      <c r="D230" s="22"/>
      <c r="E230" s="22"/>
      <c r="F230" s="22"/>
      <c r="G230" s="22"/>
      <c r="H230" s="22"/>
      <c r="I230" s="22"/>
      <c r="J230" s="22"/>
      <c r="K230" s="23"/>
      <c r="L230" s="34"/>
      <c r="N230" s="35">
        <f t="shared" si="6"/>
        <v>0</v>
      </c>
      <c r="O230" s="35">
        <f t="shared" si="7"/>
        <v>0</v>
      </c>
    </row>
    <row r="231" spans="1:15" s="9" customFormat="1" ht="18" x14ac:dyDescent="0.25">
      <c r="A231" s="69" t="str">
        <f>IF(LEN(B230)=0,"",CONCATENATE('Ficha de desembarque'!$J$18,"_",'Ficha de desembarque'!$J$20,"_",DAY('Ficha de desembarque'!$J$16),MONTH('Ficha de desembarque'!$J$16),YEAR('Ficha de desembarque'!$J$16)))</f>
        <v/>
      </c>
      <c r="B231" s="24"/>
      <c r="C231" s="24"/>
      <c r="D231" s="24"/>
      <c r="E231" s="24"/>
      <c r="F231" s="24"/>
      <c r="G231" s="24"/>
      <c r="H231" s="24"/>
      <c r="I231" s="24"/>
      <c r="J231" s="24"/>
      <c r="K231" s="25"/>
      <c r="L231" s="34"/>
      <c r="N231" s="35">
        <f t="shared" si="6"/>
        <v>0</v>
      </c>
      <c r="O231" s="35">
        <f t="shared" si="7"/>
        <v>0</v>
      </c>
    </row>
    <row r="232" spans="1:15" s="9" customFormat="1" ht="18" x14ac:dyDescent="0.25">
      <c r="A232" s="68" t="str">
        <f>IF(LEN(B231)=0,"",CONCATENATE('Ficha de desembarque'!$J$18,"_",'Ficha de desembarque'!$J$20,"_",DAY('Ficha de desembarque'!$J$16),MONTH('Ficha de desembarque'!$J$16),YEAR('Ficha de desembarque'!$J$16)))</f>
        <v/>
      </c>
      <c r="B232" s="22"/>
      <c r="C232" s="22"/>
      <c r="D232" s="22"/>
      <c r="E232" s="22"/>
      <c r="F232" s="22"/>
      <c r="G232" s="22"/>
      <c r="H232" s="22"/>
      <c r="I232" s="22"/>
      <c r="J232" s="22"/>
      <c r="K232" s="23"/>
      <c r="L232" s="34"/>
      <c r="N232" s="35">
        <f t="shared" si="6"/>
        <v>0</v>
      </c>
      <c r="O232" s="35">
        <f t="shared" si="7"/>
        <v>0</v>
      </c>
    </row>
    <row r="233" spans="1:15" s="9" customFormat="1" ht="18" x14ac:dyDescent="0.25">
      <c r="A233" s="69" t="str">
        <f>IF(LEN(B232)=0,"",CONCATENATE('Ficha de desembarque'!$J$18,"_",'Ficha de desembarque'!$J$20,"_",DAY('Ficha de desembarque'!$J$16),MONTH('Ficha de desembarque'!$J$16),YEAR('Ficha de desembarque'!$J$16)))</f>
        <v/>
      </c>
      <c r="B233" s="24"/>
      <c r="C233" s="24"/>
      <c r="D233" s="24"/>
      <c r="E233" s="24"/>
      <c r="F233" s="24"/>
      <c r="G233" s="24"/>
      <c r="H233" s="24"/>
      <c r="I233" s="24"/>
      <c r="J233" s="24"/>
      <c r="K233" s="25"/>
      <c r="L233" s="34"/>
      <c r="N233" s="35">
        <f t="shared" si="6"/>
        <v>0</v>
      </c>
      <c r="O233" s="35">
        <f t="shared" si="7"/>
        <v>0</v>
      </c>
    </row>
    <row r="234" spans="1:15" s="9" customFormat="1" ht="18" x14ac:dyDescent="0.25">
      <c r="A234" s="68" t="str">
        <f>IF(LEN(B233)=0,"",CONCATENATE('Ficha de desembarque'!$J$18,"_",'Ficha de desembarque'!$J$20,"_",DAY('Ficha de desembarque'!$J$16),MONTH('Ficha de desembarque'!$J$16),YEAR('Ficha de desembarque'!$J$16)))</f>
        <v/>
      </c>
      <c r="B234" s="22"/>
      <c r="C234" s="22"/>
      <c r="D234" s="22"/>
      <c r="E234" s="22"/>
      <c r="F234" s="22"/>
      <c r="G234" s="22"/>
      <c r="H234" s="22"/>
      <c r="I234" s="22"/>
      <c r="J234" s="22"/>
      <c r="K234" s="23"/>
      <c r="L234" s="34"/>
      <c r="N234" s="35">
        <f t="shared" si="6"/>
        <v>0</v>
      </c>
      <c r="O234" s="35">
        <f t="shared" si="7"/>
        <v>0</v>
      </c>
    </row>
    <row r="235" spans="1:15" s="9" customFormat="1" ht="18" x14ac:dyDescent="0.25">
      <c r="A235" s="69" t="str">
        <f>IF(LEN(B234)=0,"",CONCATENATE('Ficha de desembarque'!$J$18,"_",'Ficha de desembarque'!$J$20,"_",DAY('Ficha de desembarque'!$J$16),MONTH('Ficha de desembarque'!$J$16),YEAR('Ficha de desembarque'!$J$16)))</f>
        <v/>
      </c>
      <c r="B235" s="24"/>
      <c r="C235" s="24"/>
      <c r="D235" s="24"/>
      <c r="E235" s="24"/>
      <c r="F235" s="24"/>
      <c r="G235" s="24"/>
      <c r="H235" s="24"/>
      <c r="I235" s="24"/>
      <c r="J235" s="24"/>
      <c r="K235" s="25"/>
      <c r="L235" s="34"/>
      <c r="N235" s="35">
        <f t="shared" si="6"/>
        <v>0</v>
      </c>
      <c r="O235" s="35">
        <f t="shared" si="7"/>
        <v>0</v>
      </c>
    </row>
    <row r="236" spans="1:15" s="9" customFormat="1" ht="18" x14ac:dyDescent="0.25">
      <c r="A236" s="68" t="str">
        <f>IF(LEN(B235)=0,"",CONCATENATE('Ficha de desembarque'!$J$18,"_",'Ficha de desembarque'!$J$20,"_",DAY('Ficha de desembarque'!$J$16),MONTH('Ficha de desembarque'!$J$16),YEAR('Ficha de desembarque'!$J$16)))</f>
        <v/>
      </c>
      <c r="B236" s="22"/>
      <c r="C236" s="22"/>
      <c r="D236" s="22"/>
      <c r="E236" s="22"/>
      <c r="F236" s="22"/>
      <c r="G236" s="22"/>
      <c r="H236" s="22"/>
      <c r="I236" s="22"/>
      <c r="J236" s="22"/>
      <c r="K236" s="23"/>
      <c r="L236" s="34"/>
      <c r="N236" s="35">
        <f t="shared" si="6"/>
        <v>0</v>
      </c>
      <c r="O236" s="35">
        <f t="shared" si="7"/>
        <v>0</v>
      </c>
    </row>
    <row r="237" spans="1:15" s="9" customFormat="1" ht="18" x14ac:dyDescent="0.25">
      <c r="A237" s="69" t="str">
        <f>IF(LEN(B236)=0,"",CONCATENATE('Ficha de desembarque'!$J$18,"_",'Ficha de desembarque'!$J$20,"_",DAY('Ficha de desembarque'!$J$16),MONTH('Ficha de desembarque'!$J$16),YEAR('Ficha de desembarque'!$J$16)))</f>
        <v/>
      </c>
      <c r="B237" s="24"/>
      <c r="C237" s="24"/>
      <c r="D237" s="24"/>
      <c r="E237" s="24"/>
      <c r="F237" s="24"/>
      <c r="G237" s="24"/>
      <c r="H237" s="24"/>
      <c r="I237" s="24"/>
      <c r="J237" s="24"/>
      <c r="K237" s="25"/>
      <c r="L237" s="34"/>
      <c r="N237" s="35">
        <f t="shared" si="6"/>
        <v>0</v>
      </c>
      <c r="O237" s="35">
        <f t="shared" si="7"/>
        <v>0</v>
      </c>
    </row>
    <row r="238" spans="1:15" s="9" customFormat="1" ht="18" x14ac:dyDescent="0.25">
      <c r="A238" s="68" t="str">
        <f>IF(LEN(B237)=0,"",CONCATENATE('Ficha de desembarque'!$J$18,"_",'Ficha de desembarque'!$J$20,"_",DAY('Ficha de desembarque'!$J$16),MONTH('Ficha de desembarque'!$J$16),YEAR('Ficha de desembarque'!$J$16)))</f>
        <v/>
      </c>
      <c r="B238" s="22"/>
      <c r="C238" s="22"/>
      <c r="D238" s="22"/>
      <c r="E238" s="22"/>
      <c r="F238" s="22"/>
      <c r="G238" s="22"/>
      <c r="H238" s="22"/>
      <c r="I238" s="22"/>
      <c r="J238" s="22"/>
      <c r="K238" s="23"/>
      <c r="L238" s="34"/>
      <c r="N238" s="35">
        <f t="shared" si="6"/>
        <v>0</v>
      </c>
      <c r="O238" s="35">
        <f t="shared" si="7"/>
        <v>0</v>
      </c>
    </row>
    <row r="239" spans="1:15" s="9" customFormat="1" ht="18" x14ac:dyDescent="0.25">
      <c r="A239" s="69" t="str">
        <f>IF(LEN(B238)=0,"",CONCATENATE('Ficha de desembarque'!$J$18,"_",'Ficha de desembarque'!$J$20,"_",DAY('Ficha de desembarque'!$J$16),MONTH('Ficha de desembarque'!$J$16),YEAR('Ficha de desembarque'!$J$16)))</f>
        <v/>
      </c>
      <c r="B239" s="24"/>
      <c r="C239" s="24"/>
      <c r="D239" s="24"/>
      <c r="E239" s="24"/>
      <c r="F239" s="24"/>
      <c r="G239" s="24"/>
      <c r="H239" s="24"/>
      <c r="I239" s="24"/>
      <c r="J239" s="24"/>
      <c r="K239" s="25"/>
      <c r="L239" s="34"/>
      <c r="N239" s="35">
        <f t="shared" si="6"/>
        <v>0</v>
      </c>
      <c r="O239" s="35">
        <f t="shared" si="7"/>
        <v>0</v>
      </c>
    </row>
    <row r="240" spans="1:15" s="9" customFormat="1" ht="18" x14ac:dyDescent="0.25">
      <c r="A240" s="68" t="str">
        <f>IF(LEN(B239)=0,"",CONCATENATE('Ficha de desembarque'!$J$18,"_",'Ficha de desembarque'!$J$20,"_",DAY('Ficha de desembarque'!$J$16),MONTH('Ficha de desembarque'!$J$16),YEAR('Ficha de desembarque'!$J$16)))</f>
        <v/>
      </c>
      <c r="B240" s="22"/>
      <c r="C240" s="22"/>
      <c r="D240" s="22"/>
      <c r="E240" s="22"/>
      <c r="F240" s="22"/>
      <c r="G240" s="22"/>
      <c r="H240" s="22"/>
      <c r="I240" s="22"/>
      <c r="J240" s="22"/>
      <c r="K240" s="23"/>
      <c r="L240" s="34"/>
      <c r="N240" s="35">
        <f t="shared" si="6"/>
        <v>0</v>
      </c>
      <c r="O240" s="35">
        <f t="shared" si="7"/>
        <v>0</v>
      </c>
    </row>
    <row r="241" spans="1:15" s="9" customFormat="1" ht="18" x14ac:dyDescent="0.25">
      <c r="A241" s="69" t="str">
        <f>IF(LEN(B240)=0,"",CONCATENATE('Ficha de desembarque'!$J$18,"_",'Ficha de desembarque'!$J$20,"_",DAY('Ficha de desembarque'!$J$16),MONTH('Ficha de desembarque'!$J$16),YEAR('Ficha de desembarque'!$J$16)))</f>
        <v/>
      </c>
      <c r="B241" s="24"/>
      <c r="C241" s="24"/>
      <c r="D241" s="24"/>
      <c r="E241" s="24"/>
      <c r="F241" s="24"/>
      <c r="G241" s="24"/>
      <c r="H241" s="24"/>
      <c r="I241" s="24"/>
      <c r="J241" s="24"/>
      <c r="K241" s="25"/>
      <c r="L241" s="34"/>
      <c r="N241" s="35">
        <f t="shared" si="6"/>
        <v>0</v>
      </c>
      <c r="O241" s="35">
        <f t="shared" si="7"/>
        <v>0</v>
      </c>
    </row>
    <row r="242" spans="1:15" s="9" customFormat="1" ht="18" x14ac:dyDescent="0.25">
      <c r="A242" s="68" t="str">
        <f>IF(LEN(B241)=0,"",CONCATENATE('Ficha de desembarque'!$J$18,"_",'Ficha de desembarque'!$J$20,"_",DAY('Ficha de desembarque'!$J$16),MONTH('Ficha de desembarque'!$J$16),YEAR('Ficha de desembarque'!$J$16)))</f>
        <v/>
      </c>
      <c r="B242" s="22"/>
      <c r="C242" s="22"/>
      <c r="D242" s="22"/>
      <c r="E242" s="22"/>
      <c r="F242" s="22"/>
      <c r="G242" s="22"/>
      <c r="H242" s="22"/>
      <c r="I242" s="22"/>
      <c r="J242" s="22"/>
      <c r="K242" s="23"/>
      <c r="L242" s="34"/>
      <c r="N242" s="35">
        <f t="shared" si="6"/>
        <v>0</v>
      </c>
      <c r="O242" s="35">
        <f t="shared" si="7"/>
        <v>0</v>
      </c>
    </row>
    <row r="243" spans="1:15" s="9" customFormat="1" ht="18" x14ac:dyDescent="0.25">
      <c r="A243" s="69" t="str">
        <f>IF(LEN(B242)=0,"",CONCATENATE('Ficha de desembarque'!$J$18,"_",'Ficha de desembarque'!$J$20,"_",DAY('Ficha de desembarque'!$J$16),MONTH('Ficha de desembarque'!$J$16),YEAR('Ficha de desembarque'!$J$16)))</f>
        <v/>
      </c>
      <c r="B243" s="24"/>
      <c r="C243" s="24"/>
      <c r="D243" s="24"/>
      <c r="E243" s="24"/>
      <c r="F243" s="24"/>
      <c r="G243" s="24"/>
      <c r="H243" s="24"/>
      <c r="I243" s="24"/>
      <c r="J243" s="24"/>
      <c r="K243" s="25"/>
      <c r="L243" s="34"/>
      <c r="N243" s="35">
        <f t="shared" si="6"/>
        <v>0</v>
      </c>
      <c r="O243" s="35">
        <f t="shared" si="7"/>
        <v>0</v>
      </c>
    </row>
    <row r="244" spans="1:15" s="9" customFormat="1" ht="18" x14ac:dyDescent="0.25">
      <c r="A244" s="68" t="str">
        <f>IF(LEN(B243)=0,"",CONCATENATE('Ficha de desembarque'!$J$18,"_",'Ficha de desembarque'!$J$20,"_",DAY('Ficha de desembarque'!$J$16),MONTH('Ficha de desembarque'!$J$16),YEAR('Ficha de desembarque'!$J$16)))</f>
        <v/>
      </c>
      <c r="B244" s="22"/>
      <c r="C244" s="22"/>
      <c r="D244" s="22"/>
      <c r="E244" s="22"/>
      <c r="F244" s="22"/>
      <c r="G244" s="22"/>
      <c r="H244" s="22"/>
      <c r="I244" s="22"/>
      <c r="J244" s="22"/>
      <c r="K244" s="23"/>
      <c r="L244" s="34"/>
      <c r="N244" s="35">
        <f t="shared" si="6"/>
        <v>0</v>
      </c>
      <c r="O244" s="35">
        <f t="shared" si="7"/>
        <v>0</v>
      </c>
    </row>
    <row r="245" spans="1:15" s="9" customFormat="1" ht="18" x14ac:dyDescent="0.25">
      <c r="A245" s="69" t="str">
        <f>IF(LEN(B244)=0,"",CONCATENATE('Ficha de desembarque'!$J$18,"_",'Ficha de desembarque'!$J$20,"_",DAY('Ficha de desembarque'!$J$16),MONTH('Ficha de desembarque'!$J$16),YEAR('Ficha de desembarque'!$J$16)))</f>
        <v/>
      </c>
      <c r="B245" s="24"/>
      <c r="C245" s="24"/>
      <c r="D245" s="24"/>
      <c r="E245" s="24"/>
      <c r="F245" s="24"/>
      <c r="G245" s="24"/>
      <c r="H245" s="24"/>
      <c r="I245" s="24"/>
      <c r="J245" s="24"/>
      <c r="K245" s="25"/>
      <c r="L245" s="34"/>
      <c r="N245" s="35">
        <f t="shared" si="6"/>
        <v>0</v>
      </c>
      <c r="O245" s="35">
        <f t="shared" si="7"/>
        <v>0</v>
      </c>
    </row>
    <row r="246" spans="1:15" s="9" customFormat="1" ht="18" x14ac:dyDescent="0.25">
      <c r="A246" s="68" t="str">
        <f>IF(LEN(B245)=0,"",CONCATENATE('Ficha de desembarque'!$J$18,"_",'Ficha de desembarque'!$J$20,"_",DAY('Ficha de desembarque'!$J$16),MONTH('Ficha de desembarque'!$J$16),YEAR('Ficha de desembarque'!$J$16)))</f>
        <v/>
      </c>
      <c r="B246" s="22"/>
      <c r="C246" s="22"/>
      <c r="D246" s="22"/>
      <c r="E246" s="22"/>
      <c r="F246" s="22"/>
      <c r="G246" s="22"/>
      <c r="H246" s="22"/>
      <c r="I246" s="22"/>
      <c r="J246" s="22"/>
      <c r="K246" s="23"/>
      <c r="L246" s="34"/>
      <c r="N246" s="35">
        <f t="shared" si="6"/>
        <v>0</v>
      </c>
      <c r="O246" s="35">
        <f t="shared" si="7"/>
        <v>0</v>
      </c>
    </row>
    <row r="247" spans="1:15" s="9" customFormat="1" ht="18" x14ac:dyDescent="0.25">
      <c r="A247" s="69" t="str">
        <f>IF(LEN(B246)=0,"",CONCATENATE('Ficha de desembarque'!$J$18,"_",'Ficha de desembarque'!$J$20,"_",DAY('Ficha de desembarque'!$J$16),MONTH('Ficha de desembarque'!$J$16),YEAR('Ficha de desembarque'!$J$16)))</f>
        <v/>
      </c>
      <c r="B247" s="24"/>
      <c r="C247" s="24"/>
      <c r="D247" s="24"/>
      <c r="E247" s="24"/>
      <c r="F247" s="24"/>
      <c r="G247" s="24"/>
      <c r="H247" s="24"/>
      <c r="I247" s="24"/>
      <c r="J247" s="24"/>
      <c r="K247" s="25"/>
      <c r="L247" s="34"/>
      <c r="N247" s="35">
        <f t="shared" si="6"/>
        <v>0</v>
      </c>
      <c r="O247" s="35">
        <f t="shared" si="7"/>
        <v>0</v>
      </c>
    </row>
    <row r="248" spans="1:15" s="9" customFormat="1" ht="18" x14ac:dyDescent="0.25">
      <c r="A248" s="68" t="str">
        <f>IF(LEN(B247)=0,"",CONCATENATE('Ficha de desembarque'!$J$18,"_",'Ficha de desembarque'!$J$20,"_",DAY('Ficha de desembarque'!$J$16),MONTH('Ficha de desembarque'!$J$16),YEAR('Ficha de desembarque'!$J$16)))</f>
        <v/>
      </c>
      <c r="B248" s="22"/>
      <c r="C248" s="22"/>
      <c r="D248" s="22"/>
      <c r="E248" s="22"/>
      <c r="F248" s="22"/>
      <c r="G248" s="22"/>
      <c r="H248" s="22"/>
      <c r="I248" s="22"/>
      <c r="J248" s="22"/>
      <c r="K248" s="23"/>
      <c r="L248" s="34"/>
      <c r="N248" s="35">
        <f t="shared" si="6"/>
        <v>0</v>
      </c>
      <c r="O248" s="35">
        <f t="shared" si="7"/>
        <v>0</v>
      </c>
    </row>
    <row r="249" spans="1:15" s="9" customFormat="1" ht="18" x14ac:dyDescent="0.25">
      <c r="A249" s="69" t="str">
        <f>IF(LEN(B248)=0,"",CONCATENATE('Ficha de desembarque'!$J$18,"_",'Ficha de desembarque'!$J$20,"_",DAY('Ficha de desembarque'!$J$16),MONTH('Ficha de desembarque'!$J$16),YEAR('Ficha de desembarque'!$J$16)))</f>
        <v/>
      </c>
      <c r="B249" s="24"/>
      <c r="C249" s="24"/>
      <c r="D249" s="24"/>
      <c r="E249" s="24"/>
      <c r="F249" s="24"/>
      <c r="G249" s="24"/>
      <c r="H249" s="24"/>
      <c r="I249" s="24"/>
      <c r="J249" s="24"/>
      <c r="K249" s="25"/>
      <c r="L249" s="34"/>
      <c r="N249" s="35">
        <f t="shared" si="6"/>
        <v>0</v>
      </c>
      <c r="O249" s="35">
        <f t="shared" si="7"/>
        <v>0</v>
      </c>
    </row>
    <row r="250" spans="1:15" s="9" customFormat="1" ht="18" x14ac:dyDescent="0.25">
      <c r="A250" s="68" t="str">
        <f>IF(LEN(B249)=0,"",CONCATENATE('Ficha de desembarque'!$J$18,"_",'Ficha de desembarque'!$J$20,"_",DAY('Ficha de desembarque'!$J$16),MONTH('Ficha de desembarque'!$J$16),YEAR('Ficha de desembarque'!$J$16)))</f>
        <v/>
      </c>
      <c r="B250" s="22"/>
      <c r="C250" s="22"/>
      <c r="D250" s="22"/>
      <c r="E250" s="22"/>
      <c r="F250" s="22"/>
      <c r="G250" s="22"/>
      <c r="H250" s="22"/>
      <c r="I250" s="22"/>
      <c r="J250" s="22"/>
      <c r="K250" s="23"/>
      <c r="L250" s="34"/>
      <c r="N250" s="35">
        <f t="shared" si="6"/>
        <v>0</v>
      </c>
      <c r="O250" s="35">
        <f t="shared" si="7"/>
        <v>0</v>
      </c>
    </row>
    <row r="251" spans="1:15" s="9" customFormat="1" ht="18" x14ac:dyDescent="0.25">
      <c r="A251" s="69" t="str">
        <f>IF(LEN(B250)=0,"",CONCATENATE('Ficha de desembarque'!$J$18,"_",'Ficha de desembarque'!$J$20,"_",DAY('Ficha de desembarque'!$J$16),MONTH('Ficha de desembarque'!$J$16),YEAR('Ficha de desembarque'!$J$16)))</f>
        <v/>
      </c>
      <c r="B251" s="24"/>
      <c r="C251" s="24"/>
      <c r="D251" s="24"/>
      <c r="E251" s="24"/>
      <c r="F251" s="24"/>
      <c r="G251" s="24"/>
      <c r="H251" s="24"/>
      <c r="I251" s="24"/>
      <c r="J251" s="24"/>
      <c r="K251" s="25"/>
      <c r="L251" s="34"/>
      <c r="N251" s="35">
        <f t="shared" si="6"/>
        <v>0</v>
      </c>
      <c r="O251" s="35">
        <f t="shared" si="7"/>
        <v>0</v>
      </c>
    </row>
    <row r="252" spans="1:15" s="9" customFormat="1" ht="18" x14ac:dyDescent="0.25">
      <c r="A252" s="68" t="str">
        <f>IF(LEN(B251)=0,"",CONCATENATE('Ficha de desembarque'!$J$18,"_",'Ficha de desembarque'!$J$20,"_",DAY('Ficha de desembarque'!$J$16),MONTH('Ficha de desembarque'!$J$16),YEAR('Ficha de desembarque'!$J$16)))</f>
        <v/>
      </c>
      <c r="B252" s="22"/>
      <c r="C252" s="22"/>
      <c r="D252" s="22"/>
      <c r="E252" s="22"/>
      <c r="F252" s="22"/>
      <c r="G252" s="22"/>
      <c r="H252" s="22"/>
      <c r="I252" s="22"/>
      <c r="J252" s="22"/>
      <c r="K252" s="23"/>
      <c r="L252" s="34"/>
      <c r="N252" s="35">
        <f t="shared" si="6"/>
        <v>0</v>
      </c>
      <c r="O252" s="35">
        <f t="shared" si="7"/>
        <v>0</v>
      </c>
    </row>
    <row r="253" spans="1:15" s="9" customFormat="1" ht="18" x14ac:dyDescent="0.25">
      <c r="A253" s="69" t="str">
        <f>IF(LEN(B252)=0,"",CONCATENATE('Ficha de desembarque'!$J$18,"_",'Ficha de desembarque'!$J$20,"_",DAY('Ficha de desembarque'!$J$16),MONTH('Ficha de desembarque'!$J$16),YEAR('Ficha de desembarque'!$J$16)))</f>
        <v/>
      </c>
      <c r="B253" s="24"/>
      <c r="C253" s="24"/>
      <c r="D253" s="24"/>
      <c r="E253" s="24"/>
      <c r="F253" s="24"/>
      <c r="G253" s="24"/>
      <c r="H253" s="24"/>
      <c r="I253" s="24"/>
      <c r="J253" s="24"/>
      <c r="K253" s="25"/>
      <c r="L253" s="34"/>
      <c r="N253" s="35">
        <f t="shared" si="6"/>
        <v>0</v>
      </c>
      <c r="O253" s="35">
        <f t="shared" si="7"/>
        <v>0</v>
      </c>
    </row>
    <row r="254" spans="1:15" s="9" customFormat="1" ht="18" x14ac:dyDescent="0.25">
      <c r="A254" s="68" t="str">
        <f>IF(LEN(B253)=0,"",CONCATENATE('Ficha de desembarque'!$J$18,"_",'Ficha de desembarque'!$J$20,"_",DAY('Ficha de desembarque'!$J$16),MONTH('Ficha de desembarque'!$J$16),YEAR('Ficha de desembarque'!$J$16)))</f>
        <v/>
      </c>
      <c r="B254" s="22"/>
      <c r="C254" s="22"/>
      <c r="D254" s="22"/>
      <c r="E254" s="22"/>
      <c r="F254" s="22"/>
      <c r="G254" s="22"/>
      <c r="H254" s="22"/>
      <c r="I254" s="22"/>
      <c r="J254" s="22"/>
      <c r="K254" s="23"/>
      <c r="L254" s="34"/>
      <c r="N254" s="35">
        <f t="shared" si="6"/>
        <v>0</v>
      </c>
      <c r="O254" s="35">
        <f t="shared" si="7"/>
        <v>0</v>
      </c>
    </row>
    <row r="255" spans="1:15" s="9" customFormat="1" ht="18" x14ac:dyDescent="0.25">
      <c r="A255" s="69" t="str">
        <f>IF(LEN(B254)=0,"",CONCATENATE('Ficha de desembarque'!$J$18,"_",'Ficha de desembarque'!$J$20,"_",DAY('Ficha de desembarque'!$J$16),MONTH('Ficha de desembarque'!$J$16),YEAR('Ficha de desembarque'!$J$16)))</f>
        <v/>
      </c>
      <c r="B255" s="24"/>
      <c r="C255" s="24"/>
      <c r="D255" s="24"/>
      <c r="E255" s="24"/>
      <c r="F255" s="24"/>
      <c r="G255" s="24"/>
      <c r="H255" s="24"/>
      <c r="I255" s="24"/>
      <c r="J255" s="24"/>
      <c r="K255" s="25"/>
      <c r="L255" s="34"/>
      <c r="N255" s="35">
        <f t="shared" si="6"/>
        <v>0</v>
      </c>
      <c r="O255" s="35">
        <f t="shared" si="7"/>
        <v>0</v>
      </c>
    </row>
    <row r="256" spans="1:15" s="9" customFormat="1" ht="18" x14ac:dyDescent="0.25">
      <c r="A256" s="68" t="str">
        <f>IF(LEN(B255)=0,"",CONCATENATE('Ficha de desembarque'!$J$18,"_",'Ficha de desembarque'!$J$20,"_",DAY('Ficha de desembarque'!$J$16),MONTH('Ficha de desembarque'!$J$16),YEAR('Ficha de desembarque'!$J$16)))</f>
        <v/>
      </c>
      <c r="B256" s="22"/>
      <c r="C256" s="22"/>
      <c r="D256" s="22"/>
      <c r="E256" s="22"/>
      <c r="F256" s="22"/>
      <c r="G256" s="22"/>
      <c r="H256" s="22"/>
      <c r="I256" s="22"/>
      <c r="J256" s="22"/>
      <c r="K256" s="23"/>
      <c r="L256" s="34"/>
      <c r="N256" s="35">
        <f t="shared" si="6"/>
        <v>0</v>
      </c>
      <c r="O256" s="35">
        <f t="shared" si="7"/>
        <v>0</v>
      </c>
    </row>
    <row r="257" spans="1:15" s="9" customFormat="1" ht="18" x14ac:dyDescent="0.25">
      <c r="A257" s="69" t="str">
        <f>IF(LEN(B256)=0,"",CONCATENATE('Ficha de desembarque'!$J$18,"_",'Ficha de desembarque'!$J$20,"_",DAY('Ficha de desembarque'!$J$16),MONTH('Ficha de desembarque'!$J$16),YEAR('Ficha de desembarque'!$J$16)))</f>
        <v/>
      </c>
      <c r="B257" s="24"/>
      <c r="C257" s="24"/>
      <c r="D257" s="24"/>
      <c r="E257" s="24"/>
      <c r="F257" s="24"/>
      <c r="G257" s="24"/>
      <c r="H257" s="24"/>
      <c r="I257" s="24"/>
      <c r="J257" s="24"/>
      <c r="K257" s="25"/>
      <c r="L257" s="34"/>
      <c r="N257" s="35">
        <f t="shared" si="6"/>
        <v>0</v>
      </c>
      <c r="O257" s="35">
        <f t="shared" si="7"/>
        <v>0</v>
      </c>
    </row>
    <row r="258" spans="1:15" s="9" customFormat="1" ht="18" x14ac:dyDescent="0.25">
      <c r="A258" s="68" t="str">
        <f>IF(LEN(B257)=0,"",CONCATENATE('Ficha de desembarque'!$J$18,"_",'Ficha de desembarque'!$J$20,"_",DAY('Ficha de desembarque'!$J$16),MONTH('Ficha de desembarque'!$J$16),YEAR('Ficha de desembarque'!$J$16)))</f>
        <v/>
      </c>
      <c r="B258" s="22"/>
      <c r="C258" s="22"/>
      <c r="D258" s="22"/>
      <c r="E258" s="22"/>
      <c r="F258" s="22"/>
      <c r="G258" s="22"/>
      <c r="H258" s="22"/>
      <c r="I258" s="22"/>
      <c r="J258" s="22"/>
      <c r="K258" s="23"/>
      <c r="L258" s="34"/>
      <c r="N258" s="35">
        <f t="shared" si="6"/>
        <v>0</v>
      </c>
      <c r="O258" s="35">
        <f t="shared" si="7"/>
        <v>0</v>
      </c>
    </row>
    <row r="259" spans="1:15" s="9" customFormat="1" ht="18" x14ac:dyDescent="0.25">
      <c r="A259" s="69" t="str">
        <f>IF(LEN(B258)=0,"",CONCATENATE('Ficha de desembarque'!$J$18,"_",'Ficha de desembarque'!$J$20,"_",DAY('Ficha de desembarque'!$J$16),MONTH('Ficha de desembarque'!$J$16),YEAR('Ficha de desembarque'!$J$16)))</f>
        <v/>
      </c>
      <c r="B259" s="24"/>
      <c r="C259" s="24"/>
      <c r="D259" s="24"/>
      <c r="E259" s="24"/>
      <c r="F259" s="24"/>
      <c r="G259" s="24"/>
      <c r="H259" s="24"/>
      <c r="I259" s="24"/>
      <c r="J259" s="24"/>
      <c r="K259" s="25"/>
      <c r="L259" s="34"/>
      <c r="N259" s="35">
        <f t="shared" si="6"/>
        <v>0</v>
      </c>
      <c r="O259" s="35">
        <f t="shared" si="7"/>
        <v>0</v>
      </c>
    </row>
    <row r="260" spans="1:15" s="9" customFormat="1" ht="18" x14ac:dyDescent="0.25">
      <c r="A260" s="68" t="str">
        <f>IF(LEN(B259)=0,"",CONCATENATE('Ficha de desembarque'!$J$18,"_",'Ficha de desembarque'!$J$20,"_",DAY('Ficha de desembarque'!$J$16),MONTH('Ficha de desembarque'!$J$16),YEAR('Ficha de desembarque'!$J$16)))</f>
        <v/>
      </c>
      <c r="B260" s="22"/>
      <c r="C260" s="22"/>
      <c r="D260" s="22"/>
      <c r="E260" s="22"/>
      <c r="F260" s="22"/>
      <c r="G260" s="22"/>
      <c r="H260" s="22"/>
      <c r="I260" s="22"/>
      <c r="J260" s="22"/>
      <c r="K260" s="23"/>
      <c r="L260" s="34"/>
      <c r="N260" s="35">
        <f t="shared" si="6"/>
        <v>0</v>
      </c>
      <c r="O260" s="35">
        <f t="shared" si="7"/>
        <v>0</v>
      </c>
    </row>
    <row r="261" spans="1:15" s="9" customFormat="1" ht="18" x14ac:dyDescent="0.25">
      <c r="A261" s="69" t="str">
        <f>IF(LEN(B260)=0,"",CONCATENATE('Ficha de desembarque'!$J$18,"_",'Ficha de desembarque'!$J$20,"_",DAY('Ficha de desembarque'!$J$16),MONTH('Ficha de desembarque'!$J$16),YEAR('Ficha de desembarque'!$J$16)))</f>
        <v/>
      </c>
      <c r="B261" s="24"/>
      <c r="C261" s="24"/>
      <c r="D261" s="24"/>
      <c r="E261" s="24"/>
      <c r="F261" s="24"/>
      <c r="G261" s="24"/>
      <c r="H261" s="24"/>
      <c r="I261" s="24"/>
      <c r="J261" s="24"/>
      <c r="K261" s="25"/>
      <c r="L261" s="34"/>
      <c r="N261" s="35">
        <f t="shared" si="6"/>
        <v>0</v>
      </c>
      <c r="O261" s="35">
        <f t="shared" si="7"/>
        <v>0</v>
      </c>
    </row>
    <row r="262" spans="1:15" s="9" customFormat="1" ht="18" x14ac:dyDescent="0.25">
      <c r="A262" s="68" t="str">
        <f>IF(LEN(B261)=0,"",CONCATENATE('Ficha de desembarque'!$J$18,"_",'Ficha de desembarque'!$J$20,"_",DAY('Ficha de desembarque'!$J$16),MONTH('Ficha de desembarque'!$J$16),YEAR('Ficha de desembarque'!$J$16)))</f>
        <v/>
      </c>
      <c r="B262" s="22"/>
      <c r="C262" s="22"/>
      <c r="D262" s="22"/>
      <c r="E262" s="22"/>
      <c r="F262" s="22"/>
      <c r="G262" s="22"/>
      <c r="H262" s="22"/>
      <c r="I262" s="22"/>
      <c r="J262" s="22"/>
      <c r="K262" s="23"/>
      <c r="L262" s="34"/>
      <c r="N262" s="35">
        <f t="shared" si="6"/>
        <v>0</v>
      </c>
      <c r="O262" s="35">
        <f t="shared" si="7"/>
        <v>0</v>
      </c>
    </row>
    <row r="263" spans="1:15" s="9" customFormat="1" ht="18" x14ac:dyDescent="0.25">
      <c r="A263" s="69" t="str">
        <f>IF(LEN(B262)=0,"",CONCATENATE('Ficha de desembarque'!$J$18,"_",'Ficha de desembarque'!$J$20,"_",DAY('Ficha de desembarque'!$J$16),MONTH('Ficha de desembarque'!$J$16),YEAR('Ficha de desembarque'!$J$16)))</f>
        <v/>
      </c>
      <c r="B263" s="24"/>
      <c r="C263" s="24"/>
      <c r="D263" s="24"/>
      <c r="E263" s="24"/>
      <c r="F263" s="24"/>
      <c r="G263" s="24"/>
      <c r="H263" s="24"/>
      <c r="I263" s="24"/>
      <c r="J263" s="24"/>
      <c r="K263" s="25"/>
      <c r="L263" s="34"/>
      <c r="N263" s="35">
        <f t="shared" si="6"/>
        <v>0</v>
      </c>
      <c r="O263" s="35">
        <f t="shared" si="7"/>
        <v>0</v>
      </c>
    </row>
    <row r="264" spans="1:15" s="9" customFormat="1" ht="18" x14ac:dyDescent="0.25">
      <c r="A264" s="68" t="str">
        <f>IF(LEN(B263)=0,"",CONCATENATE('Ficha de desembarque'!$J$18,"_",'Ficha de desembarque'!$J$20,"_",DAY('Ficha de desembarque'!$J$16),MONTH('Ficha de desembarque'!$J$16),YEAR('Ficha de desembarque'!$J$16)))</f>
        <v/>
      </c>
      <c r="B264" s="22"/>
      <c r="C264" s="22"/>
      <c r="D264" s="22"/>
      <c r="E264" s="22"/>
      <c r="F264" s="22"/>
      <c r="G264" s="22"/>
      <c r="H264" s="22"/>
      <c r="I264" s="22"/>
      <c r="J264" s="22"/>
      <c r="K264" s="23"/>
      <c r="L264" s="34"/>
      <c r="N264" s="35">
        <f t="shared" si="6"/>
        <v>0</v>
      </c>
      <c r="O264" s="35">
        <f t="shared" si="7"/>
        <v>0</v>
      </c>
    </row>
    <row r="265" spans="1:15" s="9" customFormat="1" ht="18" x14ac:dyDescent="0.25">
      <c r="A265" s="69" t="str">
        <f>IF(LEN(B264)=0,"",CONCATENATE('Ficha de desembarque'!$J$18,"_",'Ficha de desembarque'!$J$20,"_",DAY('Ficha de desembarque'!$J$16),MONTH('Ficha de desembarque'!$J$16),YEAR('Ficha de desembarque'!$J$16)))</f>
        <v/>
      </c>
      <c r="B265" s="24"/>
      <c r="C265" s="24"/>
      <c r="D265" s="24"/>
      <c r="E265" s="24"/>
      <c r="F265" s="24"/>
      <c r="G265" s="24"/>
      <c r="H265" s="24"/>
      <c r="I265" s="24"/>
      <c r="J265" s="24"/>
      <c r="K265" s="25"/>
      <c r="L265" s="34"/>
      <c r="N265" s="35">
        <f t="shared" si="6"/>
        <v>0</v>
      </c>
      <c r="O265" s="35">
        <f t="shared" si="7"/>
        <v>0</v>
      </c>
    </row>
    <row r="266" spans="1:15" s="9" customFormat="1" ht="18" x14ac:dyDescent="0.25">
      <c r="A266" s="68" t="str">
        <f>IF(LEN(B265)=0,"",CONCATENATE('Ficha de desembarque'!$J$18,"_",'Ficha de desembarque'!$J$20,"_",DAY('Ficha de desembarque'!$J$16),MONTH('Ficha de desembarque'!$J$16),YEAR('Ficha de desembarque'!$J$16)))</f>
        <v/>
      </c>
      <c r="B266" s="22"/>
      <c r="C266" s="22"/>
      <c r="D266" s="22"/>
      <c r="E266" s="22"/>
      <c r="F266" s="22"/>
      <c r="G266" s="22"/>
      <c r="H266" s="22"/>
      <c r="I266" s="22"/>
      <c r="J266" s="22"/>
      <c r="K266" s="23"/>
      <c r="L266" s="34"/>
      <c r="N266" s="35">
        <f t="shared" si="6"/>
        <v>0</v>
      </c>
      <c r="O266" s="35">
        <f t="shared" si="7"/>
        <v>0</v>
      </c>
    </row>
    <row r="267" spans="1:15" s="9" customFormat="1" ht="18" x14ac:dyDescent="0.25">
      <c r="A267" s="69" t="str">
        <f>IF(LEN(B266)=0,"",CONCATENATE('Ficha de desembarque'!$J$18,"_",'Ficha de desembarque'!$J$20,"_",DAY('Ficha de desembarque'!$J$16),MONTH('Ficha de desembarque'!$J$16),YEAR('Ficha de desembarque'!$J$16)))</f>
        <v/>
      </c>
      <c r="B267" s="24"/>
      <c r="C267" s="24"/>
      <c r="D267" s="24"/>
      <c r="E267" s="24"/>
      <c r="F267" s="24"/>
      <c r="G267" s="24"/>
      <c r="H267" s="24"/>
      <c r="I267" s="24"/>
      <c r="J267" s="24"/>
      <c r="K267" s="25"/>
      <c r="L267" s="34"/>
      <c r="N267" s="35">
        <f t="shared" si="6"/>
        <v>0</v>
      </c>
      <c r="O267" s="35">
        <f t="shared" si="7"/>
        <v>0</v>
      </c>
    </row>
    <row r="268" spans="1:15" s="9" customFormat="1" ht="18" x14ac:dyDescent="0.25">
      <c r="A268" s="68" t="str">
        <f>IF(LEN(B267)=0,"",CONCATENATE('Ficha de desembarque'!$J$18,"_",'Ficha de desembarque'!$J$20,"_",DAY('Ficha de desembarque'!$J$16),MONTH('Ficha de desembarque'!$J$16),YEAR('Ficha de desembarque'!$J$16)))</f>
        <v/>
      </c>
      <c r="B268" s="22"/>
      <c r="C268" s="22"/>
      <c r="D268" s="22"/>
      <c r="E268" s="22"/>
      <c r="F268" s="22"/>
      <c r="G268" s="22"/>
      <c r="H268" s="22"/>
      <c r="I268" s="22"/>
      <c r="J268" s="22"/>
      <c r="K268" s="23"/>
      <c r="L268" s="34"/>
      <c r="N268" s="35">
        <f t="shared" ref="N268:N331" si="8">MAX(0,D268)</f>
        <v>0</v>
      </c>
      <c r="O268" s="35">
        <f t="shared" ref="O268:O331" si="9">MAX(0,F268)</f>
        <v>0</v>
      </c>
    </row>
    <row r="269" spans="1:15" s="9" customFormat="1" ht="18" x14ac:dyDescent="0.25">
      <c r="A269" s="69" t="str">
        <f>IF(LEN(B268)=0,"",CONCATENATE('Ficha de desembarque'!$J$18,"_",'Ficha de desembarque'!$J$20,"_",DAY('Ficha de desembarque'!$J$16),MONTH('Ficha de desembarque'!$J$16),YEAR('Ficha de desembarque'!$J$16)))</f>
        <v/>
      </c>
      <c r="B269" s="24"/>
      <c r="C269" s="24"/>
      <c r="D269" s="24"/>
      <c r="E269" s="24"/>
      <c r="F269" s="24"/>
      <c r="G269" s="24"/>
      <c r="H269" s="24"/>
      <c r="I269" s="24"/>
      <c r="J269" s="24"/>
      <c r="K269" s="25"/>
      <c r="L269" s="34"/>
      <c r="N269" s="35">
        <f t="shared" si="8"/>
        <v>0</v>
      </c>
      <c r="O269" s="35">
        <f t="shared" si="9"/>
        <v>0</v>
      </c>
    </row>
    <row r="270" spans="1:15" s="9" customFormat="1" ht="18" x14ac:dyDescent="0.25">
      <c r="A270" s="68" t="str">
        <f>IF(LEN(B269)=0,"",CONCATENATE('Ficha de desembarque'!$J$18,"_",'Ficha de desembarque'!$J$20,"_",DAY('Ficha de desembarque'!$J$16),MONTH('Ficha de desembarque'!$J$16),YEAR('Ficha de desembarque'!$J$16)))</f>
        <v/>
      </c>
      <c r="B270" s="22"/>
      <c r="C270" s="22"/>
      <c r="D270" s="22"/>
      <c r="E270" s="22"/>
      <c r="F270" s="22"/>
      <c r="G270" s="22"/>
      <c r="H270" s="22"/>
      <c r="I270" s="22"/>
      <c r="J270" s="22"/>
      <c r="K270" s="23"/>
      <c r="L270" s="34"/>
      <c r="N270" s="35">
        <f t="shared" si="8"/>
        <v>0</v>
      </c>
      <c r="O270" s="35">
        <f t="shared" si="9"/>
        <v>0</v>
      </c>
    </row>
    <row r="271" spans="1:15" s="9" customFormat="1" ht="18" x14ac:dyDescent="0.25">
      <c r="A271" s="69" t="str">
        <f>IF(LEN(B270)=0,"",CONCATENATE('Ficha de desembarque'!$J$18,"_",'Ficha de desembarque'!$J$20,"_",DAY('Ficha de desembarque'!$J$16),MONTH('Ficha de desembarque'!$J$16),YEAR('Ficha de desembarque'!$J$16)))</f>
        <v/>
      </c>
      <c r="B271" s="24"/>
      <c r="C271" s="24"/>
      <c r="D271" s="24"/>
      <c r="E271" s="24"/>
      <c r="F271" s="24"/>
      <c r="G271" s="24"/>
      <c r="H271" s="24"/>
      <c r="I271" s="24"/>
      <c r="J271" s="24"/>
      <c r="K271" s="25"/>
      <c r="L271" s="34"/>
      <c r="N271" s="35">
        <f t="shared" si="8"/>
        <v>0</v>
      </c>
      <c r="O271" s="35">
        <f t="shared" si="9"/>
        <v>0</v>
      </c>
    </row>
    <row r="272" spans="1:15" s="9" customFormat="1" ht="18" x14ac:dyDescent="0.25">
      <c r="A272" s="68" t="str">
        <f>IF(LEN(B271)=0,"",CONCATENATE('Ficha de desembarque'!$J$18,"_",'Ficha de desembarque'!$J$20,"_",DAY('Ficha de desembarque'!$J$16),MONTH('Ficha de desembarque'!$J$16),YEAR('Ficha de desembarque'!$J$16)))</f>
        <v/>
      </c>
      <c r="B272" s="22"/>
      <c r="C272" s="22"/>
      <c r="D272" s="22"/>
      <c r="E272" s="22"/>
      <c r="F272" s="22"/>
      <c r="G272" s="22"/>
      <c r="H272" s="22"/>
      <c r="I272" s="22"/>
      <c r="J272" s="22"/>
      <c r="K272" s="23"/>
      <c r="L272" s="34"/>
      <c r="N272" s="35">
        <f t="shared" si="8"/>
        <v>0</v>
      </c>
      <c r="O272" s="35">
        <f t="shared" si="9"/>
        <v>0</v>
      </c>
    </row>
    <row r="273" spans="1:15" s="9" customFormat="1" ht="18" x14ac:dyDescent="0.25">
      <c r="A273" s="69" t="str">
        <f>IF(LEN(B272)=0,"",CONCATENATE('Ficha de desembarque'!$J$18,"_",'Ficha de desembarque'!$J$20,"_",DAY('Ficha de desembarque'!$J$16),MONTH('Ficha de desembarque'!$J$16),YEAR('Ficha de desembarque'!$J$16)))</f>
        <v/>
      </c>
      <c r="B273" s="24"/>
      <c r="C273" s="24"/>
      <c r="D273" s="24"/>
      <c r="E273" s="24"/>
      <c r="F273" s="24"/>
      <c r="G273" s="24"/>
      <c r="H273" s="24"/>
      <c r="I273" s="24"/>
      <c r="J273" s="24"/>
      <c r="K273" s="25"/>
      <c r="L273" s="34"/>
      <c r="N273" s="35">
        <f t="shared" si="8"/>
        <v>0</v>
      </c>
      <c r="O273" s="35">
        <f t="shared" si="9"/>
        <v>0</v>
      </c>
    </row>
    <row r="274" spans="1:15" s="9" customFormat="1" ht="18" x14ac:dyDescent="0.25">
      <c r="A274" s="68" t="str">
        <f>IF(LEN(B273)=0,"",CONCATENATE('Ficha de desembarque'!$J$18,"_",'Ficha de desembarque'!$J$20,"_",DAY('Ficha de desembarque'!$J$16),MONTH('Ficha de desembarque'!$J$16),YEAR('Ficha de desembarque'!$J$16)))</f>
        <v/>
      </c>
      <c r="B274" s="22"/>
      <c r="C274" s="22"/>
      <c r="D274" s="22"/>
      <c r="E274" s="22"/>
      <c r="F274" s="22"/>
      <c r="G274" s="22"/>
      <c r="H274" s="22"/>
      <c r="I274" s="22"/>
      <c r="J274" s="22"/>
      <c r="K274" s="23"/>
      <c r="L274" s="34"/>
      <c r="N274" s="35">
        <f t="shared" si="8"/>
        <v>0</v>
      </c>
      <c r="O274" s="35">
        <f t="shared" si="9"/>
        <v>0</v>
      </c>
    </row>
    <row r="275" spans="1:15" s="9" customFormat="1" ht="18" x14ac:dyDescent="0.25">
      <c r="A275" s="69" t="str">
        <f>IF(LEN(B274)=0,"",CONCATENATE('Ficha de desembarque'!$J$18,"_",'Ficha de desembarque'!$J$20,"_",DAY('Ficha de desembarque'!$J$16),MONTH('Ficha de desembarque'!$J$16),YEAR('Ficha de desembarque'!$J$16)))</f>
        <v/>
      </c>
      <c r="B275" s="24"/>
      <c r="C275" s="24"/>
      <c r="D275" s="24"/>
      <c r="E275" s="24"/>
      <c r="F275" s="24"/>
      <c r="G275" s="24"/>
      <c r="H275" s="24"/>
      <c r="I275" s="24"/>
      <c r="J275" s="24"/>
      <c r="K275" s="25"/>
      <c r="L275" s="34"/>
      <c r="N275" s="35">
        <f t="shared" si="8"/>
        <v>0</v>
      </c>
      <c r="O275" s="35">
        <f t="shared" si="9"/>
        <v>0</v>
      </c>
    </row>
    <row r="276" spans="1:15" s="9" customFormat="1" ht="18" x14ac:dyDescent="0.25">
      <c r="A276" s="68" t="str">
        <f>IF(LEN(B275)=0,"",CONCATENATE('Ficha de desembarque'!$J$18,"_",'Ficha de desembarque'!$J$20,"_",DAY('Ficha de desembarque'!$J$16),MONTH('Ficha de desembarque'!$J$16),YEAR('Ficha de desembarque'!$J$16)))</f>
        <v/>
      </c>
      <c r="B276" s="22"/>
      <c r="C276" s="22"/>
      <c r="D276" s="22"/>
      <c r="E276" s="22"/>
      <c r="F276" s="22"/>
      <c r="G276" s="22"/>
      <c r="H276" s="22"/>
      <c r="I276" s="22"/>
      <c r="J276" s="22"/>
      <c r="K276" s="23"/>
      <c r="L276" s="34"/>
      <c r="N276" s="35">
        <f t="shared" si="8"/>
        <v>0</v>
      </c>
      <c r="O276" s="35">
        <f t="shared" si="9"/>
        <v>0</v>
      </c>
    </row>
    <row r="277" spans="1:15" s="9" customFormat="1" ht="18" x14ac:dyDescent="0.25">
      <c r="A277" s="69" t="str">
        <f>IF(LEN(B276)=0,"",CONCATENATE('Ficha de desembarque'!$J$18,"_",'Ficha de desembarque'!$J$20,"_",DAY('Ficha de desembarque'!$J$16),MONTH('Ficha de desembarque'!$J$16),YEAR('Ficha de desembarque'!$J$16)))</f>
        <v/>
      </c>
      <c r="B277" s="24"/>
      <c r="C277" s="24"/>
      <c r="D277" s="24"/>
      <c r="E277" s="24"/>
      <c r="F277" s="24"/>
      <c r="G277" s="24"/>
      <c r="H277" s="24"/>
      <c r="I277" s="24"/>
      <c r="J277" s="24"/>
      <c r="K277" s="25"/>
      <c r="L277" s="34"/>
      <c r="N277" s="35">
        <f t="shared" si="8"/>
        <v>0</v>
      </c>
      <c r="O277" s="35">
        <f t="shared" si="9"/>
        <v>0</v>
      </c>
    </row>
    <row r="278" spans="1:15" s="9" customFormat="1" ht="18" x14ac:dyDescent="0.25">
      <c r="A278" s="68" t="str">
        <f>IF(LEN(B277)=0,"",CONCATENATE('Ficha de desembarque'!$J$18,"_",'Ficha de desembarque'!$J$20,"_",DAY('Ficha de desembarque'!$J$16),MONTH('Ficha de desembarque'!$J$16),YEAR('Ficha de desembarque'!$J$16)))</f>
        <v/>
      </c>
      <c r="B278" s="22"/>
      <c r="C278" s="22"/>
      <c r="D278" s="22"/>
      <c r="E278" s="22"/>
      <c r="F278" s="22"/>
      <c r="G278" s="22"/>
      <c r="H278" s="22"/>
      <c r="I278" s="22"/>
      <c r="J278" s="22"/>
      <c r="K278" s="23"/>
      <c r="L278" s="34"/>
      <c r="N278" s="35">
        <f t="shared" si="8"/>
        <v>0</v>
      </c>
      <c r="O278" s="35">
        <f t="shared" si="9"/>
        <v>0</v>
      </c>
    </row>
    <row r="279" spans="1:15" s="9" customFormat="1" ht="18" x14ac:dyDescent="0.25">
      <c r="A279" s="69" t="str">
        <f>IF(LEN(B278)=0,"",CONCATENATE('Ficha de desembarque'!$J$18,"_",'Ficha de desembarque'!$J$20,"_",DAY('Ficha de desembarque'!$J$16),MONTH('Ficha de desembarque'!$J$16),YEAR('Ficha de desembarque'!$J$16)))</f>
        <v/>
      </c>
      <c r="B279" s="24"/>
      <c r="C279" s="24"/>
      <c r="D279" s="24"/>
      <c r="E279" s="24"/>
      <c r="F279" s="24"/>
      <c r="G279" s="24"/>
      <c r="H279" s="24"/>
      <c r="I279" s="24"/>
      <c r="J279" s="24"/>
      <c r="K279" s="25"/>
      <c r="L279" s="34"/>
      <c r="N279" s="35">
        <f t="shared" si="8"/>
        <v>0</v>
      </c>
      <c r="O279" s="35">
        <f t="shared" si="9"/>
        <v>0</v>
      </c>
    </row>
    <row r="280" spans="1:15" s="9" customFormat="1" ht="18" x14ac:dyDescent="0.25">
      <c r="A280" s="68" t="str">
        <f>IF(LEN(B279)=0,"",CONCATENATE('Ficha de desembarque'!$J$18,"_",'Ficha de desembarque'!$J$20,"_",DAY('Ficha de desembarque'!$J$16),MONTH('Ficha de desembarque'!$J$16),YEAR('Ficha de desembarque'!$J$16)))</f>
        <v/>
      </c>
      <c r="B280" s="22"/>
      <c r="C280" s="22"/>
      <c r="D280" s="22"/>
      <c r="E280" s="22"/>
      <c r="F280" s="22"/>
      <c r="G280" s="22"/>
      <c r="H280" s="22"/>
      <c r="I280" s="22"/>
      <c r="J280" s="22"/>
      <c r="K280" s="23"/>
      <c r="L280" s="34"/>
      <c r="N280" s="35">
        <f t="shared" si="8"/>
        <v>0</v>
      </c>
      <c r="O280" s="35">
        <f t="shared" si="9"/>
        <v>0</v>
      </c>
    </row>
    <row r="281" spans="1:15" s="9" customFormat="1" ht="18" x14ac:dyDescent="0.25">
      <c r="A281" s="69" t="str">
        <f>IF(LEN(B280)=0,"",CONCATENATE('Ficha de desembarque'!$J$18,"_",'Ficha de desembarque'!$J$20,"_",DAY('Ficha de desembarque'!$J$16),MONTH('Ficha de desembarque'!$J$16),YEAR('Ficha de desembarque'!$J$16)))</f>
        <v/>
      </c>
      <c r="B281" s="24"/>
      <c r="C281" s="24"/>
      <c r="D281" s="24"/>
      <c r="E281" s="24"/>
      <c r="F281" s="24"/>
      <c r="G281" s="24"/>
      <c r="H281" s="24"/>
      <c r="I281" s="24"/>
      <c r="J281" s="24"/>
      <c r="K281" s="25"/>
      <c r="L281" s="34"/>
      <c r="N281" s="35">
        <f t="shared" si="8"/>
        <v>0</v>
      </c>
      <c r="O281" s="35">
        <f t="shared" si="9"/>
        <v>0</v>
      </c>
    </row>
    <row r="282" spans="1:15" s="9" customFormat="1" ht="18" x14ac:dyDescent="0.25">
      <c r="A282" s="68" t="str">
        <f>IF(LEN(B281)=0,"",CONCATENATE('Ficha de desembarque'!$J$18,"_",'Ficha de desembarque'!$J$20,"_",DAY('Ficha de desembarque'!$J$16),MONTH('Ficha de desembarque'!$J$16),YEAR('Ficha de desembarque'!$J$16)))</f>
        <v/>
      </c>
      <c r="B282" s="22"/>
      <c r="C282" s="22"/>
      <c r="D282" s="22"/>
      <c r="E282" s="22"/>
      <c r="F282" s="22"/>
      <c r="G282" s="22"/>
      <c r="H282" s="22"/>
      <c r="I282" s="22"/>
      <c r="J282" s="22"/>
      <c r="K282" s="23"/>
      <c r="L282" s="34"/>
      <c r="N282" s="35">
        <f t="shared" si="8"/>
        <v>0</v>
      </c>
      <c r="O282" s="35">
        <f t="shared" si="9"/>
        <v>0</v>
      </c>
    </row>
    <row r="283" spans="1:15" s="9" customFormat="1" ht="18" x14ac:dyDescent="0.25">
      <c r="A283" s="69" t="str">
        <f>IF(LEN(B282)=0,"",CONCATENATE('Ficha de desembarque'!$J$18,"_",'Ficha de desembarque'!$J$20,"_",DAY('Ficha de desembarque'!$J$16),MONTH('Ficha de desembarque'!$J$16),YEAR('Ficha de desembarque'!$J$16)))</f>
        <v/>
      </c>
      <c r="B283" s="24"/>
      <c r="C283" s="24"/>
      <c r="D283" s="24"/>
      <c r="E283" s="24"/>
      <c r="F283" s="24"/>
      <c r="G283" s="24"/>
      <c r="H283" s="24"/>
      <c r="I283" s="24"/>
      <c r="J283" s="24"/>
      <c r="K283" s="25"/>
      <c r="L283" s="34"/>
      <c r="N283" s="35">
        <f t="shared" si="8"/>
        <v>0</v>
      </c>
      <c r="O283" s="35">
        <f t="shared" si="9"/>
        <v>0</v>
      </c>
    </row>
    <row r="284" spans="1:15" s="9" customFormat="1" ht="18" x14ac:dyDescent="0.25">
      <c r="A284" s="68" t="str">
        <f>IF(LEN(B283)=0,"",CONCATENATE('Ficha de desembarque'!$J$18,"_",'Ficha de desembarque'!$J$20,"_",DAY('Ficha de desembarque'!$J$16),MONTH('Ficha de desembarque'!$J$16),YEAR('Ficha de desembarque'!$J$16)))</f>
        <v/>
      </c>
      <c r="B284" s="22"/>
      <c r="C284" s="22"/>
      <c r="D284" s="22"/>
      <c r="E284" s="22"/>
      <c r="F284" s="22"/>
      <c r="G284" s="22"/>
      <c r="H284" s="22"/>
      <c r="I284" s="22"/>
      <c r="J284" s="22"/>
      <c r="K284" s="23"/>
      <c r="L284" s="34"/>
      <c r="N284" s="35">
        <f t="shared" si="8"/>
        <v>0</v>
      </c>
      <c r="O284" s="35">
        <f t="shared" si="9"/>
        <v>0</v>
      </c>
    </row>
    <row r="285" spans="1:15" s="9" customFormat="1" ht="18" x14ac:dyDescent="0.25">
      <c r="A285" s="69" t="str">
        <f>IF(LEN(B284)=0,"",CONCATENATE('Ficha de desembarque'!$J$18,"_",'Ficha de desembarque'!$J$20,"_",DAY('Ficha de desembarque'!$J$16),MONTH('Ficha de desembarque'!$J$16),YEAR('Ficha de desembarque'!$J$16)))</f>
        <v/>
      </c>
      <c r="B285" s="24"/>
      <c r="C285" s="24"/>
      <c r="D285" s="24"/>
      <c r="E285" s="24"/>
      <c r="F285" s="24"/>
      <c r="G285" s="24"/>
      <c r="H285" s="24"/>
      <c r="I285" s="24"/>
      <c r="J285" s="24"/>
      <c r="K285" s="25"/>
      <c r="L285" s="34"/>
      <c r="N285" s="35">
        <f t="shared" si="8"/>
        <v>0</v>
      </c>
      <c r="O285" s="35">
        <f t="shared" si="9"/>
        <v>0</v>
      </c>
    </row>
    <row r="286" spans="1:15" s="9" customFormat="1" ht="18" x14ac:dyDescent="0.25">
      <c r="A286" s="68" t="str">
        <f>IF(LEN(B285)=0,"",CONCATENATE('Ficha de desembarque'!$J$18,"_",'Ficha de desembarque'!$J$20,"_",DAY('Ficha de desembarque'!$J$16),MONTH('Ficha de desembarque'!$J$16),YEAR('Ficha de desembarque'!$J$16)))</f>
        <v/>
      </c>
      <c r="B286" s="22"/>
      <c r="C286" s="22"/>
      <c r="D286" s="22"/>
      <c r="E286" s="22"/>
      <c r="F286" s="22"/>
      <c r="G286" s="22"/>
      <c r="H286" s="22"/>
      <c r="I286" s="22"/>
      <c r="J286" s="22"/>
      <c r="K286" s="23"/>
      <c r="L286" s="34"/>
      <c r="N286" s="35">
        <f t="shared" si="8"/>
        <v>0</v>
      </c>
      <c r="O286" s="35">
        <f t="shared" si="9"/>
        <v>0</v>
      </c>
    </row>
    <row r="287" spans="1:15" s="9" customFormat="1" ht="18" x14ac:dyDescent="0.25">
      <c r="A287" s="69" t="str">
        <f>IF(LEN(B286)=0,"",CONCATENATE('Ficha de desembarque'!$J$18,"_",'Ficha de desembarque'!$J$20,"_",DAY('Ficha de desembarque'!$J$16),MONTH('Ficha de desembarque'!$J$16),YEAR('Ficha de desembarque'!$J$16)))</f>
        <v/>
      </c>
      <c r="B287" s="24"/>
      <c r="C287" s="24"/>
      <c r="D287" s="24"/>
      <c r="E287" s="24"/>
      <c r="F287" s="24"/>
      <c r="G287" s="24"/>
      <c r="H287" s="24"/>
      <c r="I287" s="24"/>
      <c r="J287" s="24"/>
      <c r="K287" s="25"/>
      <c r="L287" s="34"/>
      <c r="N287" s="35">
        <f t="shared" si="8"/>
        <v>0</v>
      </c>
      <c r="O287" s="35">
        <f t="shared" si="9"/>
        <v>0</v>
      </c>
    </row>
    <row r="288" spans="1:15" s="9" customFormat="1" ht="18" x14ac:dyDescent="0.25">
      <c r="A288" s="68" t="str">
        <f>IF(LEN(B287)=0,"",CONCATENATE('Ficha de desembarque'!$J$18,"_",'Ficha de desembarque'!$J$20,"_",DAY('Ficha de desembarque'!$J$16),MONTH('Ficha de desembarque'!$J$16),YEAR('Ficha de desembarque'!$J$16)))</f>
        <v/>
      </c>
      <c r="B288" s="22"/>
      <c r="C288" s="22"/>
      <c r="D288" s="22"/>
      <c r="E288" s="22"/>
      <c r="F288" s="22"/>
      <c r="G288" s="22"/>
      <c r="H288" s="22"/>
      <c r="I288" s="22"/>
      <c r="J288" s="22"/>
      <c r="K288" s="23"/>
      <c r="L288" s="34"/>
      <c r="N288" s="35">
        <f t="shared" si="8"/>
        <v>0</v>
      </c>
      <c r="O288" s="35">
        <f t="shared" si="9"/>
        <v>0</v>
      </c>
    </row>
    <row r="289" spans="1:15" s="9" customFormat="1" ht="18" x14ac:dyDescent="0.25">
      <c r="A289" s="69" t="str">
        <f>IF(LEN(B288)=0,"",CONCATENATE('Ficha de desembarque'!$J$18,"_",'Ficha de desembarque'!$J$20,"_",DAY('Ficha de desembarque'!$J$16),MONTH('Ficha de desembarque'!$J$16),YEAR('Ficha de desembarque'!$J$16)))</f>
        <v/>
      </c>
      <c r="B289" s="24"/>
      <c r="C289" s="24"/>
      <c r="D289" s="24"/>
      <c r="E289" s="24"/>
      <c r="F289" s="24"/>
      <c r="G289" s="24"/>
      <c r="H289" s="24"/>
      <c r="I289" s="24"/>
      <c r="J289" s="24"/>
      <c r="K289" s="25"/>
      <c r="L289" s="34"/>
      <c r="N289" s="35">
        <f t="shared" si="8"/>
        <v>0</v>
      </c>
      <c r="O289" s="35">
        <f t="shared" si="9"/>
        <v>0</v>
      </c>
    </row>
    <row r="290" spans="1:15" s="9" customFormat="1" ht="18" x14ac:dyDescent="0.25">
      <c r="A290" s="68" t="str">
        <f>IF(LEN(B289)=0,"",CONCATENATE('Ficha de desembarque'!$J$18,"_",'Ficha de desembarque'!$J$20,"_",DAY('Ficha de desembarque'!$J$16),MONTH('Ficha de desembarque'!$J$16),YEAR('Ficha de desembarque'!$J$16)))</f>
        <v/>
      </c>
      <c r="B290" s="22"/>
      <c r="C290" s="22"/>
      <c r="D290" s="22"/>
      <c r="E290" s="22"/>
      <c r="F290" s="22"/>
      <c r="G290" s="22"/>
      <c r="H290" s="22"/>
      <c r="I290" s="22"/>
      <c r="J290" s="22"/>
      <c r="K290" s="23"/>
      <c r="L290" s="34"/>
      <c r="N290" s="35">
        <f t="shared" si="8"/>
        <v>0</v>
      </c>
      <c r="O290" s="35">
        <f t="shared" si="9"/>
        <v>0</v>
      </c>
    </row>
    <row r="291" spans="1:15" s="9" customFormat="1" ht="18" x14ac:dyDescent="0.25">
      <c r="A291" s="69" t="str">
        <f>IF(LEN(B290)=0,"",CONCATENATE('Ficha de desembarque'!$J$18,"_",'Ficha de desembarque'!$J$20,"_",DAY('Ficha de desembarque'!$J$16),MONTH('Ficha de desembarque'!$J$16),YEAR('Ficha de desembarque'!$J$16)))</f>
        <v/>
      </c>
      <c r="B291" s="24"/>
      <c r="C291" s="24"/>
      <c r="D291" s="24"/>
      <c r="E291" s="24"/>
      <c r="F291" s="24"/>
      <c r="G291" s="24"/>
      <c r="H291" s="24"/>
      <c r="I291" s="24"/>
      <c r="J291" s="24"/>
      <c r="K291" s="25"/>
      <c r="L291" s="34"/>
      <c r="N291" s="35">
        <f t="shared" si="8"/>
        <v>0</v>
      </c>
      <c r="O291" s="35">
        <f t="shared" si="9"/>
        <v>0</v>
      </c>
    </row>
    <row r="292" spans="1:15" s="9" customFormat="1" ht="18" x14ac:dyDescent="0.25">
      <c r="A292" s="68" t="str">
        <f>IF(LEN(B291)=0,"",CONCATENATE('Ficha de desembarque'!$J$18,"_",'Ficha de desembarque'!$J$20,"_",DAY('Ficha de desembarque'!$J$16),MONTH('Ficha de desembarque'!$J$16),YEAR('Ficha de desembarque'!$J$16)))</f>
        <v/>
      </c>
      <c r="B292" s="22"/>
      <c r="C292" s="22"/>
      <c r="D292" s="22"/>
      <c r="E292" s="22"/>
      <c r="F292" s="22"/>
      <c r="G292" s="22"/>
      <c r="H292" s="22"/>
      <c r="I292" s="22"/>
      <c r="J292" s="22"/>
      <c r="K292" s="23"/>
      <c r="L292" s="34"/>
      <c r="N292" s="35">
        <f t="shared" si="8"/>
        <v>0</v>
      </c>
      <c r="O292" s="35">
        <f t="shared" si="9"/>
        <v>0</v>
      </c>
    </row>
    <row r="293" spans="1:15" s="9" customFormat="1" ht="18" x14ac:dyDescent="0.25">
      <c r="A293" s="69" t="str">
        <f>IF(LEN(B292)=0,"",CONCATENATE('Ficha de desembarque'!$J$18,"_",'Ficha de desembarque'!$J$20,"_",DAY('Ficha de desembarque'!$J$16),MONTH('Ficha de desembarque'!$J$16),YEAR('Ficha de desembarque'!$J$16)))</f>
        <v/>
      </c>
      <c r="B293" s="24"/>
      <c r="C293" s="24"/>
      <c r="D293" s="24"/>
      <c r="E293" s="24"/>
      <c r="F293" s="24"/>
      <c r="G293" s="24"/>
      <c r="H293" s="24"/>
      <c r="I293" s="24"/>
      <c r="J293" s="24"/>
      <c r="K293" s="25"/>
      <c r="L293" s="34"/>
      <c r="N293" s="35">
        <f t="shared" si="8"/>
        <v>0</v>
      </c>
      <c r="O293" s="35">
        <f t="shared" si="9"/>
        <v>0</v>
      </c>
    </row>
    <row r="294" spans="1:15" s="9" customFormat="1" ht="18" x14ac:dyDescent="0.25">
      <c r="A294" s="68" t="str">
        <f>IF(LEN(B293)=0,"",CONCATENATE('Ficha de desembarque'!$J$18,"_",'Ficha de desembarque'!$J$20,"_",DAY('Ficha de desembarque'!$J$16),MONTH('Ficha de desembarque'!$J$16),YEAR('Ficha de desembarque'!$J$16)))</f>
        <v/>
      </c>
      <c r="B294" s="22"/>
      <c r="C294" s="22"/>
      <c r="D294" s="22"/>
      <c r="E294" s="22"/>
      <c r="F294" s="22"/>
      <c r="G294" s="22"/>
      <c r="H294" s="22"/>
      <c r="I294" s="22"/>
      <c r="J294" s="22"/>
      <c r="K294" s="23"/>
      <c r="L294" s="34"/>
      <c r="N294" s="35">
        <f t="shared" si="8"/>
        <v>0</v>
      </c>
      <c r="O294" s="35">
        <f t="shared" si="9"/>
        <v>0</v>
      </c>
    </row>
    <row r="295" spans="1:15" s="9" customFormat="1" ht="18" x14ac:dyDescent="0.25">
      <c r="A295" s="69" t="str">
        <f>IF(LEN(B294)=0,"",CONCATENATE('Ficha de desembarque'!$J$18,"_",'Ficha de desembarque'!$J$20,"_",DAY('Ficha de desembarque'!$J$16),MONTH('Ficha de desembarque'!$J$16),YEAR('Ficha de desembarque'!$J$16)))</f>
        <v/>
      </c>
      <c r="B295" s="24"/>
      <c r="C295" s="24"/>
      <c r="D295" s="24"/>
      <c r="E295" s="24"/>
      <c r="F295" s="24"/>
      <c r="G295" s="24"/>
      <c r="H295" s="24"/>
      <c r="I295" s="24"/>
      <c r="J295" s="24"/>
      <c r="K295" s="25"/>
      <c r="L295" s="34"/>
      <c r="N295" s="35">
        <f t="shared" si="8"/>
        <v>0</v>
      </c>
      <c r="O295" s="35">
        <f t="shared" si="9"/>
        <v>0</v>
      </c>
    </row>
    <row r="296" spans="1:15" s="9" customFormat="1" ht="18" x14ac:dyDescent="0.25">
      <c r="A296" s="68" t="str">
        <f>IF(LEN(B295)=0,"",CONCATENATE('Ficha de desembarque'!$J$18,"_",'Ficha de desembarque'!$J$20,"_",DAY('Ficha de desembarque'!$J$16),MONTH('Ficha de desembarque'!$J$16),YEAR('Ficha de desembarque'!$J$16)))</f>
        <v/>
      </c>
      <c r="B296" s="22"/>
      <c r="C296" s="22"/>
      <c r="D296" s="22"/>
      <c r="E296" s="22"/>
      <c r="F296" s="22"/>
      <c r="G296" s="22"/>
      <c r="H296" s="22"/>
      <c r="I296" s="22"/>
      <c r="J296" s="22"/>
      <c r="K296" s="23"/>
      <c r="L296" s="34"/>
      <c r="N296" s="35">
        <f t="shared" si="8"/>
        <v>0</v>
      </c>
      <c r="O296" s="35">
        <f t="shared" si="9"/>
        <v>0</v>
      </c>
    </row>
    <row r="297" spans="1:15" s="9" customFormat="1" ht="18" x14ac:dyDescent="0.25">
      <c r="A297" s="69" t="str">
        <f>IF(LEN(B296)=0,"",CONCATENATE('Ficha de desembarque'!$J$18,"_",'Ficha de desembarque'!$J$20,"_",DAY('Ficha de desembarque'!$J$16),MONTH('Ficha de desembarque'!$J$16),YEAR('Ficha de desembarque'!$J$16)))</f>
        <v/>
      </c>
      <c r="B297" s="24"/>
      <c r="C297" s="24"/>
      <c r="D297" s="24"/>
      <c r="E297" s="24"/>
      <c r="F297" s="24"/>
      <c r="G297" s="24"/>
      <c r="H297" s="24"/>
      <c r="I297" s="24"/>
      <c r="J297" s="24"/>
      <c r="K297" s="25"/>
      <c r="L297" s="34"/>
      <c r="N297" s="35">
        <f t="shared" si="8"/>
        <v>0</v>
      </c>
      <c r="O297" s="35">
        <f t="shared" si="9"/>
        <v>0</v>
      </c>
    </row>
    <row r="298" spans="1:15" s="9" customFormat="1" ht="18" x14ac:dyDescent="0.25">
      <c r="A298" s="68" t="str">
        <f>IF(LEN(B297)=0,"",CONCATENATE('Ficha de desembarque'!$J$18,"_",'Ficha de desembarque'!$J$20,"_",DAY('Ficha de desembarque'!$J$16),MONTH('Ficha de desembarque'!$J$16),YEAR('Ficha de desembarque'!$J$16)))</f>
        <v/>
      </c>
      <c r="B298" s="22"/>
      <c r="C298" s="22"/>
      <c r="D298" s="22"/>
      <c r="E298" s="22"/>
      <c r="F298" s="22"/>
      <c r="G298" s="22"/>
      <c r="H298" s="22"/>
      <c r="I298" s="22"/>
      <c r="J298" s="22"/>
      <c r="K298" s="23"/>
      <c r="L298" s="34"/>
      <c r="N298" s="35">
        <f t="shared" si="8"/>
        <v>0</v>
      </c>
      <c r="O298" s="35">
        <f t="shared" si="9"/>
        <v>0</v>
      </c>
    </row>
    <row r="299" spans="1:15" s="9" customFormat="1" ht="18" x14ac:dyDescent="0.25">
      <c r="A299" s="69" t="str">
        <f>IF(LEN(B298)=0,"",CONCATENATE('Ficha de desembarque'!$J$18,"_",'Ficha de desembarque'!$J$20,"_",DAY('Ficha de desembarque'!$J$16),MONTH('Ficha de desembarque'!$J$16),YEAR('Ficha de desembarque'!$J$16)))</f>
        <v/>
      </c>
      <c r="B299" s="24"/>
      <c r="C299" s="24"/>
      <c r="D299" s="24"/>
      <c r="E299" s="24"/>
      <c r="F299" s="24"/>
      <c r="G299" s="24"/>
      <c r="H299" s="24"/>
      <c r="I299" s="24"/>
      <c r="J299" s="24"/>
      <c r="K299" s="25"/>
      <c r="L299" s="34"/>
      <c r="N299" s="35">
        <f t="shared" si="8"/>
        <v>0</v>
      </c>
      <c r="O299" s="35">
        <f t="shared" si="9"/>
        <v>0</v>
      </c>
    </row>
    <row r="300" spans="1:15" s="9" customFormat="1" ht="18" x14ac:dyDescent="0.25">
      <c r="A300" s="68" t="str">
        <f>IF(LEN(B299)=0,"",CONCATENATE('Ficha de desembarque'!$J$18,"_",'Ficha de desembarque'!$J$20,"_",DAY('Ficha de desembarque'!$J$16),MONTH('Ficha de desembarque'!$J$16),YEAR('Ficha de desembarque'!$J$16)))</f>
        <v/>
      </c>
      <c r="B300" s="22"/>
      <c r="C300" s="22"/>
      <c r="D300" s="22"/>
      <c r="E300" s="22"/>
      <c r="F300" s="22"/>
      <c r="G300" s="22"/>
      <c r="H300" s="22"/>
      <c r="I300" s="22"/>
      <c r="J300" s="22"/>
      <c r="K300" s="23"/>
      <c r="L300" s="34"/>
      <c r="N300" s="35">
        <f t="shared" si="8"/>
        <v>0</v>
      </c>
      <c r="O300" s="35">
        <f t="shared" si="9"/>
        <v>0</v>
      </c>
    </row>
    <row r="301" spans="1:15" s="9" customFormat="1" ht="18" x14ac:dyDescent="0.25">
      <c r="A301" s="69" t="str">
        <f>IF(LEN(B300)=0,"",CONCATENATE('Ficha de desembarque'!$J$18,"_",'Ficha de desembarque'!$J$20,"_",DAY('Ficha de desembarque'!$J$16),MONTH('Ficha de desembarque'!$J$16),YEAR('Ficha de desembarque'!$J$16)))</f>
        <v/>
      </c>
      <c r="B301" s="24"/>
      <c r="C301" s="24"/>
      <c r="D301" s="24"/>
      <c r="E301" s="24"/>
      <c r="F301" s="24"/>
      <c r="G301" s="24"/>
      <c r="H301" s="24"/>
      <c r="I301" s="24"/>
      <c r="J301" s="24"/>
      <c r="K301" s="25"/>
      <c r="L301" s="34"/>
      <c r="N301" s="35">
        <f t="shared" si="8"/>
        <v>0</v>
      </c>
      <c r="O301" s="35">
        <f t="shared" si="9"/>
        <v>0</v>
      </c>
    </row>
    <row r="302" spans="1:15" s="9" customFormat="1" ht="18" x14ac:dyDescent="0.25">
      <c r="A302" s="68" t="str">
        <f>IF(LEN(B301)=0,"",CONCATENATE('Ficha de desembarque'!$J$18,"_",'Ficha de desembarque'!$J$20,"_",DAY('Ficha de desembarque'!$J$16),MONTH('Ficha de desembarque'!$J$16),YEAR('Ficha de desembarque'!$J$16)))</f>
        <v/>
      </c>
      <c r="B302" s="22"/>
      <c r="C302" s="22"/>
      <c r="D302" s="22"/>
      <c r="E302" s="22"/>
      <c r="F302" s="22"/>
      <c r="G302" s="22"/>
      <c r="H302" s="22"/>
      <c r="I302" s="22"/>
      <c r="J302" s="22"/>
      <c r="K302" s="23"/>
      <c r="L302" s="34"/>
      <c r="N302" s="35">
        <f t="shared" si="8"/>
        <v>0</v>
      </c>
      <c r="O302" s="35">
        <f t="shared" si="9"/>
        <v>0</v>
      </c>
    </row>
    <row r="303" spans="1:15" s="9" customFormat="1" ht="18" x14ac:dyDescent="0.25">
      <c r="A303" s="69" t="str">
        <f>IF(LEN(B302)=0,"",CONCATENATE('Ficha de desembarque'!$J$18,"_",'Ficha de desembarque'!$J$20,"_",DAY('Ficha de desembarque'!$J$16),MONTH('Ficha de desembarque'!$J$16),YEAR('Ficha de desembarque'!$J$16)))</f>
        <v/>
      </c>
      <c r="B303" s="24"/>
      <c r="C303" s="24"/>
      <c r="D303" s="24"/>
      <c r="E303" s="24"/>
      <c r="F303" s="24"/>
      <c r="G303" s="24"/>
      <c r="H303" s="24"/>
      <c r="I303" s="24"/>
      <c r="J303" s="24"/>
      <c r="K303" s="25"/>
      <c r="L303" s="34"/>
      <c r="N303" s="35">
        <f t="shared" si="8"/>
        <v>0</v>
      </c>
      <c r="O303" s="35">
        <f t="shared" si="9"/>
        <v>0</v>
      </c>
    </row>
    <row r="304" spans="1:15" s="9" customFormat="1" ht="18" x14ac:dyDescent="0.25">
      <c r="A304" s="68" t="str">
        <f>IF(LEN(B303)=0,"",CONCATENATE('Ficha de desembarque'!$J$18,"_",'Ficha de desembarque'!$J$20,"_",DAY('Ficha de desembarque'!$J$16),MONTH('Ficha de desembarque'!$J$16),YEAR('Ficha de desembarque'!$J$16)))</f>
        <v/>
      </c>
      <c r="B304" s="22"/>
      <c r="C304" s="22"/>
      <c r="D304" s="22"/>
      <c r="E304" s="22"/>
      <c r="F304" s="22"/>
      <c r="G304" s="22"/>
      <c r="H304" s="22"/>
      <c r="I304" s="22"/>
      <c r="J304" s="22"/>
      <c r="K304" s="23"/>
      <c r="L304" s="34"/>
      <c r="N304" s="35">
        <f t="shared" si="8"/>
        <v>0</v>
      </c>
      <c r="O304" s="35">
        <f t="shared" si="9"/>
        <v>0</v>
      </c>
    </row>
    <row r="305" spans="1:15" s="9" customFormat="1" ht="18" x14ac:dyDescent="0.25">
      <c r="A305" s="69" t="str">
        <f>IF(LEN(B304)=0,"",CONCATENATE('Ficha de desembarque'!$J$18,"_",'Ficha de desembarque'!$J$20,"_",DAY('Ficha de desembarque'!$J$16),MONTH('Ficha de desembarque'!$J$16),YEAR('Ficha de desembarque'!$J$16)))</f>
        <v/>
      </c>
      <c r="B305" s="24"/>
      <c r="C305" s="24"/>
      <c r="D305" s="24"/>
      <c r="E305" s="24"/>
      <c r="F305" s="24"/>
      <c r="G305" s="24"/>
      <c r="H305" s="24"/>
      <c r="I305" s="24"/>
      <c r="J305" s="24"/>
      <c r="K305" s="25"/>
      <c r="L305" s="34"/>
      <c r="N305" s="35">
        <f t="shared" si="8"/>
        <v>0</v>
      </c>
      <c r="O305" s="35">
        <f t="shared" si="9"/>
        <v>0</v>
      </c>
    </row>
    <row r="306" spans="1:15" s="9" customFormat="1" ht="18" x14ac:dyDescent="0.25">
      <c r="A306" s="68" t="str">
        <f>IF(LEN(B305)=0,"",CONCATENATE('Ficha de desembarque'!$J$18,"_",'Ficha de desembarque'!$J$20,"_",DAY('Ficha de desembarque'!$J$16),MONTH('Ficha de desembarque'!$J$16),YEAR('Ficha de desembarque'!$J$16)))</f>
        <v/>
      </c>
      <c r="B306" s="22"/>
      <c r="C306" s="22"/>
      <c r="D306" s="22"/>
      <c r="E306" s="22"/>
      <c r="F306" s="22"/>
      <c r="G306" s="22"/>
      <c r="H306" s="22"/>
      <c r="I306" s="22"/>
      <c r="J306" s="22"/>
      <c r="K306" s="23"/>
      <c r="L306" s="34"/>
      <c r="N306" s="35">
        <f t="shared" si="8"/>
        <v>0</v>
      </c>
      <c r="O306" s="35">
        <f t="shared" si="9"/>
        <v>0</v>
      </c>
    </row>
    <row r="307" spans="1:15" s="9" customFormat="1" ht="18" x14ac:dyDescent="0.25">
      <c r="A307" s="69" t="str">
        <f>IF(LEN(B306)=0,"",CONCATENATE('Ficha de desembarque'!$J$18,"_",'Ficha de desembarque'!$J$20,"_",DAY('Ficha de desembarque'!$J$16),MONTH('Ficha de desembarque'!$J$16),YEAR('Ficha de desembarque'!$J$16)))</f>
        <v/>
      </c>
      <c r="B307" s="24"/>
      <c r="C307" s="24"/>
      <c r="D307" s="24"/>
      <c r="E307" s="24"/>
      <c r="F307" s="24"/>
      <c r="G307" s="24"/>
      <c r="H307" s="24"/>
      <c r="I307" s="24"/>
      <c r="J307" s="24"/>
      <c r="K307" s="25"/>
      <c r="L307" s="34"/>
      <c r="N307" s="35">
        <f t="shared" si="8"/>
        <v>0</v>
      </c>
      <c r="O307" s="35">
        <f t="shared" si="9"/>
        <v>0</v>
      </c>
    </row>
    <row r="308" spans="1:15" s="9" customFormat="1" ht="18" x14ac:dyDescent="0.25">
      <c r="A308" s="68" t="str">
        <f>IF(LEN(B307)=0,"",CONCATENATE('Ficha de desembarque'!$J$18,"_",'Ficha de desembarque'!$J$20,"_",DAY('Ficha de desembarque'!$J$16),MONTH('Ficha de desembarque'!$J$16),YEAR('Ficha de desembarque'!$J$16)))</f>
        <v/>
      </c>
      <c r="B308" s="22"/>
      <c r="C308" s="22"/>
      <c r="D308" s="22"/>
      <c r="E308" s="22"/>
      <c r="F308" s="22"/>
      <c r="G308" s="22"/>
      <c r="H308" s="22"/>
      <c r="I308" s="22"/>
      <c r="J308" s="22"/>
      <c r="K308" s="23"/>
      <c r="L308" s="34"/>
      <c r="N308" s="35">
        <f t="shared" si="8"/>
        <v>0</v>
      </c>
      <c r="O308" s="35">
        <f t="shared" si="9"/>
        <v>0</v>
      </c>
    </row>
    <row r="309" spans="1:15" s="9" customFormat="1" ht="18" x14ac:dyDescent="0.25">
      <c r="A309" s="69" t="str">
        <f>IF(LEN(B308)=0,"",CONCATENATE('Ficha de desembarque'!$J$18,"_",'Ficha de desembarque'!$J$20,"_",DAY('Ficha de desembarque'!$J$16),MONTH('Ficha de desembarque'!$J$16),YEAR('Ficha de desembarque'!$J$16)))</f>
        <v/>
      </c>
      <c r="B309" s="24"/>
      <c r="C309" s="24"/>
      <c r="D309" s="24"/>
      <c r="E309" s="24"/>
      <c r="F309" s="24"/>
      <c r="G309" s="24"/>
      <c r="H309" s="24"/>
      <c r="I309" s="24"/>
      <c r="J309" s="24"/>
      <c r="K309" s="25"/>
      <c r="L309" s="34"/>
      <c r="N309" s="35">
        <f t="shared" si="8"/>
        <v>0</v>
      </c>
      <c r="O309" s="35">
        <f t="shared" si="9"/>
        <v>0</v>
      </c>
    </row>
    <row r="310" spans="1:15" s="9" customFormat="1" ht="18" x14ac:dyDescent="0.25">
      <c r="A310" s="68" t="str">
        <f>IF(LEN(B309)=0,"",CONCATENATE('Ficha de desembarque'!$J$18,"_",'Ficha de desembarque'!$J$20,"_",DAY('Ficha de desembarque'!$J$16),MONTH('Ficha de desembarque'!$J$16),YEAR('Ficha de desembarque'!$J$16)))</f>
        <v/>
      </c>
      <c r="B310" s="22"/>
      <c r="C310" s="22"/>
      <c r="D310" s="22"/>
      <c r="E310" s="22"/>
      <c r="F310" s="22"/>
      <c r="G310" s="22"/>
      <c r="H310" s="22"/>
      <c r="I310" s="22"/>
      <c r="J310" s="22"/>
      <c r="K310" s="23"/>
      <c r="L310" s="34"/>
      <c r="N310" s="35">
        <f t="shared" si="8"/>
        <v>0</v>
      </c>
      <c r="O310" s="35">
        <f t="shared" si="9"/>
        <v>0</v>
      </c>
    </row>
    <row r="311" spans="1:15" s="9" customFormat="1" ht="18" x14ac:dyDescent="0.25">
      <c r="A311" s="69" t="str">
        <f>IF(LEN(B310)=0,"",CONCATENATE('Ficha de desembarque'!$J$18,"_",'Ficha de desembarque'!$J$20,"_",DAY('Ficha de desembarque'!$J$16),MONTH('Ficha de desembarque'!$J$16),YEAR('Ficha de desembarque'!$J$16)))</f>
        <v/>
      </c>
      <c r="B311" s="24"/>
      <c r="C311" s="24"/>
      <c r="D311" s="24"/>
      <c r="E311" s="24"/>
      <c r="F311" s="24"/>
      <c r="G311" s="24"/>
      <c r="H311" s="24"/>
      <c r="I311" s="24"/>
      <c r="J311" s="24"/>
      <c r="K311" s="25"/>
      <c r="L311" s="34"/>
      <c r="N311" s="35">
        <f t="shared" si="8"/>
        <v>0</v>
      </c>
      <c r="O311" s="35">
        <f t="shared" si="9"/>
        <v>0</v>
      </c>
    </row>
    <row r="312" spans="1:15" s="9" customFormat="1" ht="18" x14ac:dyDescent="0.25">
      <c r="A312" s="68" t="str">
        <f>IF(LEN(B311)=0,"",CONCATENATE('Ficha de desembarque'!$J$18,"_",'Ficha de desembarque'!$J$20,"_",DAY('Ficha de desembarque'!$J$16),MONTH('Ficha de desembarque'!$J$16),YEAR('Ficha de desembarque'!$J$16)))</f>
        <v/>
      </c>
      <c r="B312" s="22"/>
      <c r="C312" s="22"/>
      <c r="D312" s="22"/>
      <c r="E312" s="22"/>
      <c r="F312" s="22"/>
      <c r="G312" s="22"/>
      <c r="H312" s="22"/>
      <c r="I312" s="22"/>
      <c r="J312" s="22"/>
      <c r="K312" s="23"/>
      <c r="L312" s="34"/>
      <c r="N312" s="35">
        <f t="shared" si="8"/>
        <v>0</v>
      </c>
      <c r="O312" s="35">
        <f t="shared" si="9"/>
        <v>0</v>
      </c>
    </row>
    <row r="313" spans="1:15" s="9" customFormat="1" ht="18" x14ac:dyDescent="0.25">
      <c r="A313" s="69" t="str">
        <f>IF(LEN(B312)=0,"",CONCATENATE('Ficha de desembarque'!$J$18,"_",'Ficha de desembarque'!$J$20,"_",DAY('Ficha de desembarque'!$J$16),MONTH('Ficha de desembarque'!$J$16),YEAR('Ficha de desembarque'!$J$16)))</f>
        <v/>
      </c>
      <c r="B313" s="24"/>
      <c r="C313" s="24"/>
      <c r="D313" s="24"/>
      <c r="E313" s="24"/>
      <c r="F313" s="24"/>
      <c r="G313" s="24"/>
      <c r="H313" s="24"/>
      <c r="I313" s="24"/>
      <c r="J313" s="24"/>
      <c r="K313" s="25"/>
      <c r="L313" s="34"/>
      <c r="N313" s="35">
        <f t="shared" si="8"/>
        <v>0</v>
      </c>
      <c r="O313" s="35">
        <f t="shared" si="9"/>
        <v>0</v>
      </c>
    </row>
    <row r="314" spans="1:15" s="9" customFormat="1" ht="18" x14ac:dyDescent="0.25">
      <c r="A314" s="68" t="str">
        <f>IF(LEN(B313)=0,"",CONCATENATE('Ficha de desembarque'!$J$18,"_",'Ficha de desembarque'!$J$20,"_",DAY('Ficha de desembarque'!$J$16),MONTH('Ficha de desembarque'!$J$16),YEAR('Ficha de desembarque'!$J$16)))</f>
        <v/>
      </c>
      <c r="B314" s="22"/>
      <c r="C314" s="22"/>
      <c r="D314" s="22"/>
      <c r="E314" s="22"/>
      <c r="F314" s="22"/>
      <c r="G314" s="22"/>
      <c r="H314" s="22"/>
      <c r="I314" s="22"/>
      <c r="J314" s="22"/>
      <c r="K314" s="23"/>
      <c r="L314" s="34"/>
      <c r="N314" s="35">
        <f t="shared" si="8"/>
        <v>0</v>
      </c>
      <c r="O314" s="35">
        <f t="shared" si="9"/>
        <v>0</v>
      </c>
    </row>
    <row r="315" spans="1:15" s="9" customFormat="1" ht="18" x14ac:dyDescent="0.25">
      <c r="A315" s="69" t="str">
        <f>IF(LEN(B314)=0,"",CONCATENATE('Ficha de desembarque'!$J$18,"_",'Ficha de desembarque'!$J$20,"_",DAY('Ficha de desembarque'!$J$16),MONTH('Ficha de desembarque'!$J$16),YEAR('Ficha de desembarque'!$J$16)))</f>
        <v/>
      </c>
      <c r="B315" s="24"/>
      <c r="C315" s="24"/>
      <c r="D315" s="24"/>
      <c r="E315" s="24"/>
      <c r="F315" s="24"/>
      <c r="G315" s="24"/>
      <c r="H315" s="24"/>
      <c r="I315" s="24"/>
      <c r="J315" s="24"/>
      <c r="K315" s="25"/>
      <c r="L315" s="34"/>
      <c r="N315" s="35">
        <f t="shared" si="8"/>
        <v>0</v>
      </c>
      <c r="O315" s="35">
        <f t="shared" si="9"/>
        <v>0</v>
      </c>
    </row>
    <row r="316" spans="1:15" s="9" customFormat="1" ht="18" x14ac:dyDescent="0.25">
      <c r="A316" s="68" t="str">
        <f>IF(LEN(B315)=0,"",CONCATENATE('Ficha de desembarque'!$J$18,"_",'Ficha de desembarque'!$J$20,"_",DAY('Ficha de desembarque'!$J$16),MONTH('Ficha de desembarque'!$J$16),YEAR('Ficha de desembarque'!$J$16)))</f>
        <v/>
      </c>
      <c r="B316" s="22"/>
      <c r="C316" s="22"/>
      <c r="D316" s="22"/>
      <c r="E316" s="22"/>
      <c r="F316" s="22"/>
      <c r="G316" s="22"/>
      <c r="H316" s="22"/>
      <c r="I316" s="22"/>
      <c r="J316" s="22"/>
      <c r="K316" s="23"/>
      <c r="L316" s="34"/>
      <c r="N316" s="35">
        <f t="shared" si="8"/>
        <v>0</v>
      </c>
      <c r="O316" s="35">
        <f t="shared" si="9"/>
        <v>0</v>
      </c>
    </row>
    <row r="317" spans="1:15" s="9" customFormat="1" ht="18" x14ac:dyDescent="0.25">
      <c r="A317" s="69" t="str">
        <f>IF(LEN(B316)=0,"",CONCATENATE('Ficha de desembarque'!$J$18,"_",'Ficha de desembarque'!$J$20,"_",DAY('Ficha de desembarque'!$J$16),MONTH('Ficha de desembarque'!$J$16),YEAR('Ficha de desembarque'!$J$16)))</f>
        <v/>
      </c>
      <c r="B317" s="24"/>
      <c r="C317" s="24"/>
      <c r="D317" s="24"/>
      <c r="E317" s="24"/>
      <c r="F317" s="24"/>
      <c r="G317" s="24"/>
      <c r="H317" s="24"/>
      <c r="I317" s="24"/>
      <c r="J317" s="24"/>
      <c r="K317" s="25"/>
      <c r="L317" s="34"/>
      <c r="N317" s="35">
        <f t="shared" si="8"/>
        <v>0</v>
      </c>
      <c r="O317" s="35">
        <f t="shared" si="9"/>
        <v>0</v>
      </c>
    </row>
    <row r="318" spans="1:15" s="9" customFormat="1" ht="18" x14ac:dyDescent="0.25">
      <c r="A318" s="68" t="str">
        <f>IF(LEN(B317)=0,"",CONCATENATE('Ficha de desembarque'!$J$18,"_",'Ficha de desembarque'!$J$20,"_",DAY('Ficha de desembarque'!$J$16),MONTH('Ficha de desembarque'!$J$16),YEAR('Ficha de desembarque'!$J$16)))</f>
        <v/>
      </c>
      <c r="B318" s="22"/>
      <c r="C318" s="22"/>
      <c r="D318" s="22"/>
      <c r="E318" s="22"/>
      <c r="F318" s="22"/>
      <c r="G318" s="22"/>
      <c r="H318" s="22"/>
      <c r="I318" s="22"/>
      <c r="J318" s="22"/>
      <c r="K318" s="23"/>
      <c r="L318" s="34"/>
      <c r="N318" s="35">
        <f t="shared" si="8"/>
        <v>0</v>
      </c>
      <c r="O318" s="35">
        <f t="shared" si="9"/>
        <v>0</v>
      </c>
    </row>
    <row r="319" spans="1:15" s="9" customFormat="1" ht="18" x14ac:dyDescent="0.25">
      <c r="A319" s="69" t="str">
        <f>IF(LEN(B318)=0,"",CONCATENATE('Ficha de desembarque'!$J$18,"_",'Ficha de desembarque'!$J$20,"_",DAY('Ficha de desembarque'!$J$16),MONTH('Ficha de desembarque'!$J$16),YEAR('Ficha de desembarque'!$J$16)))</f>
        <v/>
      </c>
      <c r="B319" s="24"/>
      <c r="C319" s="24"/>
      <c r="D319" s="24"/>
      <c r="E319" s="24"/>
      <c r="F319" s="24"/>
      <c r="G319" s="24"/>
      <c r="H319" s="24"/>
      <c r="I319" s="24"/>
      <c r="J319" s="24"/>
      <c r="K319" s="25"/>
      <c r="L319" s="34"/>
      <c r="N319" s="35">
        <f t="shared" si="8"/>
        <v>0</v>
      </c>
      <c r="O319" s="35">
        <f t="shared" si="9"/>
        <v>0</v>
      </c>
    </row>
    <row r="320" spans="1:15" s="9" customFormat="1" ht="18" x14ac:dyDescent="0.25">
      <c r="A320" s="68" t="str">
        <f>IF(LEN(B319)=0,"",CONCATENATE('Ficha de desembarque'!$J$18,"_",'Ficha de desembarque'!$J$20,"_",DAY('Ficha de desembarque'!$J$16),MONTH('Ficha de desembarque'!$J$16),YEAR('Ficha de desembarque'!$J$16)))</f>
        <v/>
      </c>
      <c r="B320" s="22"/>
      <c r="C320" s="22"/>
      <c r="D320" s="22"/>
      <c r="E320" s="22"/>
      <c r="F320" s="22"/>
      <c r="G320" s="22"/>
      <c r="H320" s="22"/>
      <c r="I320" s="22"/>
      <c r="J320" s="22"/>
      <c r="K320" s="23"/>
      <c r="L320" s="34"/>
      <c r="N320" s="35">
        <f t="shared" si="8"/>
        <v>0</v>
      </c>
      <c r="O320" s="35">
        <f t="shared" si="9"/>
        <v>0</v>
      </c>
    </row>
    <row r="321" spans="1:15" s="9" customFormat="1" ht="18" x14ac:dyDescent="0.25">
      <c r="A321" s="69" t="str">
        <f>IF(LEN(B320)=0,"",CONCATENATE('Ficha de desembarque'!$J$18,"_",'Ficha de desembarque'!$J$20,"_",DAY('Ficha de desembarque'!$J$16),MONTH('Ficha de desembarque'!$J$16),YEAR('Ficha de desembarque'!$J$16)))</f>
        <v/>
      </c>
      <c r="B321" s="24"/>
      <c r="C321" s="24"/>
      <c r="D321" s="24"/>
      <c r="E321" s="24"/>
      <c r="F321" s="24"/>
      <c r="G321" s="24"/>
      <c r="H321" s="24"/>
      <c r="I321" s="24"/>
      <c r="J321" s="24"/>
      <c r="K321" s="25"/>
      <c r="L321" s="34"/>
      <c r="N321" s="35">
        <f t="shared" si="8"/>
        <v>0</v>
      </c>
      <c r="O321" s="35">
        <f t="shared" si="9"/>
        <v>0</v>
      </c>
    </row>
    <row r="322" spans="1:15" s="9" customFormat="1" ht="18" x14ac:dyDescent="0.25">
      <c r="A322" s="68" t="str">
        <f>IF(LEN(B321)=0,"",CONCATENATE('Ficha de desembarque'!$J$18,"_",'Ficha de desembarque'!$J$20,"_",DAY('Ficha de desembarque'!$J$16),MONTH('Ficha de desembarque'!$J$16),YEAR('Ficha de desembarque'!$J$16)))</f>
        <v/>
      </c>
      <c r="B322" s="22"/>
      <c r="C322" s="22"/>
      <c r="D322" s="22"/>
      <c r="E322" s="22"/>
      <c r="F322" s="22"/>
      <c r="G322" s="22"/>
      <c r="H322" s="22"/>
      <c r="I322" s="22"/>
      <c r="J322" s="22"/>
      <c r="K322" s="23"/>
      <c r="L322" s="34"/>
      <c r="N322" s="35">
        <f t="shared" si="8"/>
        <v>0</v>
      </c>
      <c r="O322" s="35">
        <f t="shared" si="9"/>
        <v>0</v>
      </c>
    </row>
    <row r="323" spans="1:15" s="9" customFormat="1" ht="18" x14ac:dyDescent="0.25">
      <c r="A323" s="69" t="str">
        <f>IF(LEN(B322)=0,"",CONCATENATE('Ficha de desembarque'!$J$18,"_",'Ficha de desembarque'!$J$20,"_",DAY('Ficha de desembarque'!$J$16),MONTH('Ficha de desembarque'!$J$16),YEAR('Ficha de desembarque'!$J$16)))</f>
        <v/>
      </c>
      <c r="B323" s="24"/>
      <c r="C323" s="24"/>
      <c r="D323" s="24"/>
      <c r="E323" s="24"/>
      <c r="F323" s="24"/>
      <c r="G323" s="24"/>
      <c r="H323" s="24"/>
      <c r="I323" s="24"/>
      <c r="J323" s="24"/>
      <c r="K323" s="25"/>
      <c r="L323" s="34"/>
      <c r="N323" s="35">
        <f t="shared" si="8"/>
        <v>0</v>
      </c>
      <c r="O323" s="35">
        <f t="shared" si="9"/>
        <v>0</v>
      </c>
    </row>
    <row r="324" spans="1:15" s="9" customFormat="1" ht="18" x14ac:dyDescent="0.25">
      <c r="A324" s="68" t="str">
        <f>IF(LEN(B323)=0,"",CONCATENATE('Ficha de desembarque'!$J$18,"_",'Ficha de desembarque'!$J$20,"_",DAY('Ficha de desembarque'!$J$16),MONTH('Ficha de desembarque'!$J$16),YEAR('Ficha de desembarque'!$J$16)))</f>
        <v/>
      </c>
      <c r="B324" s="22"/>
      <c r="C324" s="22"/>
      <c r="D324" s="22"/>
      <c r="E324" s="22"/>
      <c r="F324" s="22"/>
      <c r="G324" s="22"/>
      <c r="H324" s="22"/>
      <c r="I324" s="22"/>
      <c r="J324" s="22"/>
      <c r="K324" s="23"/>
      <c r="L324" s="34"/>
      <c r="N324" s="35">
        <f t="shared" si="8"/>
        <v>0</v>
      </c>
      <c r="O324" s="35">
        <f t="shared" si="9"/>
        <v>0</v>
      </c>
    </row>
    <row r="325" spans="1:15" s="9" customFormat="1" ht="18" x14ac:dyDescent="0.25">
      <c r="A325" s="69" t="str">
        <f>IF(LEN(B324)=0,"",CONCATENATE('Ficha de desembarque'!$J$18,"_",'Ficha de desembarque'!$J$20,"_",DAY('Ficha de desembarque'!$J$16),MONTH('Ficha de desembarque'!$J$16),YEAR('Ficha de desembarque'!$J$16)))</f>
        <v/>
      </c>
      <c r="B325" s="24"/>
      <c r="C325" s="24"/>
      <c r="D325" s="24"/>
      <c r="E325" s="24"/>
      <c r="F325" s="24"/>
      <c r="G325" s="24"/>
      <c r="H325" s="24"/>
      <c r="I325" s="24"/>
      <c r="J325" s="24"/>
      <c r="K325" s="25"/>
      <c r="L325" s="34"/>
      <c r="N325" s="35">
        <f t="shared" si="8"/>
        <v>0</v>
      </c>
      <c r="O325" s="35">
        <f t="shared" si="9"/>
        <v>0</v>
      </c>
    </row>
    <row r="326" spans="1:15" s="9" customFormat="1" ht="18" x14ac:dyDescent="0.25">
      <c r="A326" s="68" t="str">
        <f>IF(LEN(B325)=0,"",CONCATENATE('Ficha de desembarque'!$J$18,"_",'Ficha de desembarque'!$J$20,"_",DAY('Ficha de desembarque'!$J$16),MONTH('Ficha de desembarque'!$J$16),YEAR('Ficha de desembarque'!$J$16)))</f>
        <v/>
      </c>
      <c r="B326" s="22"/>
      <c r="C326" s="22"/>
      <c r="D326" s="22"/>
      <c r="E326" s="22"/>
      <c r="F326" s="22"/>
      <c r="G326" s="22"/>
      <c r="H326" s="22"/>
      <c r="I326" s="22"/>
      <c r="J326" s="22"/>
      <c r="K326" s="23"/>
      <c r="L326" s="34"/>
      <c r="N326" s="35">
        <f t="shared" si="8"/>
        <v>0</v>
      </c>
      <c r="O326" s="35">
        <f t="shared" si="9"/>
        <v>0</v>
      </c>
    </row>
    <row r="327" spans="1:15" s="9" customFormat="1" ht="18" x14ac:dyDescent="0.25">
      <c r="A327" s="69" t="str">
        <f>IF(LEN(B326)=0,"",CONCATENATE('Ficha de desembarque'!$J$18,"_",'Ficha de desembarque'!$J$20,"_",DAY('Ficha de desembarque'!$J$16),MONTH('Ficha de desembarque'!$J$16),YEAR('Ficha de desembarque'!$J$16)))</f>
        <v/>
      </c>
      <c r="B327" s="24"/>
      <c r="C327" s="24"/>
      <c r="D327" s="24"/>
      <c r="E327" s="24"/>
      <c r="F327" s="24"/>
      <c r="G327" s="24"/>
      <c r="H327" s="24"/>
      <c r="I327" s="24"/>
      <c r="J327" s="24"/>
      <c r="K327" s="25"/>
      <c r="L327" s="34"/>
      <c r="N327" s="35">
        <f t="shared" si="8"/>
        <v>0</v>
      </c>
      <c r="O327" s="35">
        <f t="shared" si="9"/>
        <v>0</v>
      </c>
    </row>
    <row r="328" spans="1:15" s="9" customFormat="1" ht="18" x14ac:dyDescent="0.25">
      <c r="A328" s="68" t="str">
        <f>IF(LEN(B327)=0,"",CONCATENATE('Ficha de desembarque'!$J$18,"_",'Ficha de desembarque'!$J$20,"_",DAY('Ficha de desembarque'!$J$16),MONTH('Ficha de desembarque'!$J$16),YEAR('Ficha de desembarque'!$J$16)))</f>
        <v/>
      </c>
      <c r="B328" s="22"/>
      <c r="C328" s="22"/>
      <c r="D328" s="22"/>
      <c r="E328" s="22"/>
      <c r="F328" s="22"/>
      <c r="G328" s="22"/>
      <c r="H328" s="22"/>
      <c r="I328" s="22"/>
      <c r="J328" s="22"/>
      <c r="K328" s="23"/>
      <c r="L328" s="34"/>
      <c r="N328" s="35">
        <f t="shared" si="8"/>
        <v>0</v>
      </c>
      <c r="O328" s="35">
        <f t="shared" si="9"/>
        <v>0</v>
      </c>
    </row>
    <row r="329" spans="1:15" s="9" customFormat="1" ht="18" x14ac:dyDescent="0.25">
      <c r="A329" s="69" t="str">
        <f>IF(LEN(B328)=0,"",CONCATENATE('Ficha de desembarque'!$J$18,"_",'Ficha de desembarque'!$J$20,"_",DAY('Ficha de desembarque'!$J$16),MONTH('Ficha de desembarque'!$J$16),YEAR('Ficha de desembarque'!$J$16)))</f>
        <v/>
      </c>
      <c r="B329" s="24"/>
      <c r="C329" s="24"/>
      <c r="D329" s="24"/>
      <c r="E329" s="24"/>
      <c r="F329" s="24"/>
      <c r="G329" s="24"/>
      <c r="H329" s="24"/>
      <c r="I329" s="24"/>
      <c r="J329" s="24"/>
      <c r="K329" s="25"/>
      <c r="L329" s="34"/>
      <c r="N329" s="35">
        <f t="shared" si="8"/>
        <v>0</v>
      </c>
      <c r="O329" s="35">
        <f t="shared" si="9"/>
        <v>0</v>
      </c>
    </row>
    <row r="330" spans="1:15" s="9" customFormat="1" ht="18" x14ac:dyDescent="0.25">
      <c r="A330" s="68" t="str">
        <f>IF(LEN(B329)=0,"",CONCATENATE('Ficha de desembarque'!$J$18,"_",'Ficha de desembarque'!$J$20,"_",DAY('Ficha de desembarque'!$J$16),MONTH('Ficha de desembarque'!$J$16),YEAR('Ficha de desembarque'!$J$16)))</f>
        <v/>
      </c>
      <c r="B330" s="22"/>
      <c r="C330" s="22"/>
      <c r="D330" s="22"/>
      <c r="E330" s="22"/>
      <c r="F330" s="22"/>
      <c r="G330" s="22"/>
      <c r="H330" s="22"/>
      <c r="I330" s="22"/>
      <c r="J330" s="22"/>
      <c r="K330" s="23"/>
      <c r="L330" s="34"/>
      <c r="N330" s="35">
        <f t="shared" si="8"/>
        <v>0</v>
      </c>
      <c r="O330" s="35">
        <f t="shared" si="9"/>
        <v>0</v>
      </c>
    </row>
    <row r="331" spans="1:15" s="9" customFormat="1" ht="18" x14ac:dyDescent="0.25">
      <c r="A331" s="69" t="str">
        <f>IF(LEN(B330)=0,"",CONCATENATE('Ficha de desembarque'!$J$18,"_",'Ficha de desembarque'!$J$20,"_",DAY('Ficha de desembarque'!$J$16),MONTH('Ficha de desembarque'!$J$16),YEAR('Ficha de desembarque'!$J$16)))</f>
        <v/>
      </c>
      <c r="B331" s="24"/>
      <c r="C331" s="24"/>
      <c r="D331" s="24"/>
      <c r="E331" s="24"/>
      <c r="F331" s="24"/>
      <c r="G331" s="24"/>
      <c r="H331" s="24"/>
      <c r="I331" s="24"/>
      <c r="J331" s="24"/>
      <c r="K331" s="25"/>
      <c r="L331" s="34"/>
      <c r="N331" s="35">
        <f t="shared" si="8"/>
        <v>0</v>
      </c>
      <c r="O331" s="35">
        <f t="shared" si="9"/>
        <v>0</v>
      </c>
    </row>
    <row r="332" spans="1:15" s="9" customFormat="1" ht="18" x14ac:dyDescent="0.25">
      <c r="A332" s="68" t="str">
        <f>IF(LEN(B331)=0,"",CONCATENATE('Ficha de desembarque'!$J$18,"_",'Ficha de desembarque'!$J$20,"_",DAY('Ficha de desembarque'!$J$16),MONTH('Ficha de desembarque'!$J$16),YEAR('Ficha de desembarque'!$J$16)))</f>
        <v/>
      </c>
      <c r="B332" s="22"/>
      <c r="C332" s="22"/>
      <c r="D332" s="22"/>
      <c r="E332" s="22"/>
      <c r="F332" s="22"/>
      <c r="G332" s="22"/>
      <c r="H332" s="22"/>
      <c r="I332" s="22"/>
      <c r="J332" s="22"/>
      <c r="K332" s="23"/>
      <c r="L332" s="34"/>
      <c r="N332" s="35">
        <f t="shared" ref="N332:N395" si="10">MAX(0,D332)</f>
        <v>0</v>
      </c>
      <c r="O332" s="35">
        <f t="shared" ref="O332:O395" si="11">MAX(0,F332)</f>
        <v>0</v>
      </c>
    </row>
    <row r="333" spans="1:15" s="9" customFormat="1" ht="18" x14ac:dyDescent="0.25">
      <c r="A333" s="69" t="str">
        <f>IF(LEN(B332)=0,"",CONCATENATE('Ficha de desembarque'!$J$18,"_",'Ficha de desembarque'!$J$20,"_",DAY('Ficha de desembarque'!$J$16),MONTH('Ficha de desembarque'!$J$16),YEAR('Ficha de desembarque'!$J$16)))</f>
        <v/>
      </c>
      <c r="B333" s="24"/>
      <c r="C333" s="24"/>
      <c r="D333" s="24"/>
      <c r="E333" s="24"/>
      <c r="F333" s="24"/>
      <c r="G333" s="24"/>
      <c r="H333" s="24"/>
      <c r="I333" s="24"/>
      <c r="J333" s="24"/>
      <c r="K333" s="25"/>
      <c r="L333" s="34"/>
      <c r="N333" s="35">
        <f t="shared" si="10"/>
        <v>0</v>
      </c>
      <c r="O333" s="35">
        <f t="shared" si="11"/>
        <v>0</v>
      </c>
    </row>
    <row r="334" spans="1:15" s="9" customFormat="1" ht="18" x14ac:dyDescent="0.25">
      <c r="A334" s="68" t="str">
        <f>IF(LEN(B333)=0,"",CONCATENATE('Ficha de desembarque'!$J$18,"_",'Ficha de desembarque'!$J$20,"_",DAY('Ficha de desembarque'!$J$16),MONTH('Ficha de desembarque'!$J$16),YEAR('Ficha de desembarque'!$J$16)))</f>
        <v/>
      </c>
      <c r="B334" s="22"/>
      <c r="C334" s="22"/>
      <c r="D334" s="22"/>
      <c r="E334" s="22"/>
      <c r="F334" s="22"/>
      <c r="G334" s="22"/>
      <c r="H334" s="22"/>
      <c r="I334" s="22"/>
      <c r="J334" s="22"/>
      <c r="K334" s="23"/>
      <c r="L334" s="34"/>
      <c r="N334" s="35">
        <f t="shared" si="10"/>
        <v>0</v>
      </c>
      <c r="O334" s="35">
        <f t="shared" si="11"/>
        <v>0</v>
      </c>
    </row>
    <row r="335" spans="1:15" s="9" customFormat="1" ht="18" x14ac:dyDescent="0.25">
      <c r="A335" s="69" t="str">
        <f>IF(LEN(B334)=0,"",CONCATENATE('Ficha de desembarque'!$J$18,"_",'Ficha de desembarque'!$J$20,"_",DAY('Ficha de desembarque'!$J$16),MONTH('Ficha de desembarque'!$J$16),YEAR('Ficha de desembarque'!$J$16)))</f>
        <v/>
      </c>
      <c r="B335" s="24"/>
      <c r="C335" s="24"/>
      <c r="D335" s="24"/>
      <c r="E335" s="24"/>
      <c r="F335" s="24"/>
      <c r="G335" s="24"/>
      <c r="H335" s="24"/>
      <c r="I335" s="24"/>
      <c r="J335" s="24"/>
      <c r="K335" s="25"/>
      <c r="L335" s="34"/>
      <c r="N335" s="35">
        <f t="shared" si="10"/>
        <v>0</v>
      </c>
      <c r="O335" s="35">
        <f t="shared" si="11"/>
        <v>0</v>
      </c>
    </row>
    <row r="336" spans="1:15" s="9" customFormat="1" ht="18" x14ac:dyDescent="0.25">
      <c r="A336" s="68" t="str">
        <f>IF(LEN(B335)=0,"",CONCATENATE('Ficha de desembarque'!$J$18,"_",'Ficha de desembarque'!$J$20,"_",DAY('Ficha de desembarque'!$J$16),MONTH('Ficha de desembarque'!$J$16),YEAR('Ficha de desembarque'!$J$16)))</f>
        <v/>
      </c>
      <c r="B336" s="22"/>
      <c r="C336" s="22"/>
      <c r="D336" s="22"/>
      <c r="E336" s="22"/>
      <c r="F336" s="22"/>
      <c r="G336" s="22"/>
      <c r="H336" s="22"/>
      <c r="I336" s="22"/>
      <c r="J336" s="22"/>
      <c r="K336" s="23"/>
      <c r="L336" s="34"/>
      <c r="N336" s="35">
        <f t="shared" si="10"/>
        <v>0</v>
      </c>
      <c r="O336" s="35">
        <f t="shared" si="11"/>
        <v>0</v>
      </c>
    </row>
    <row r="337" spans="1:15" s="9" customFormat="1" ht="18" x14ac:dyDescent="0.25">
      <c r="A337" s="69" t="str">
        <f>IF(LEN(B336)=0,"",CONCATENATE('Ficha de desembarque'!$J$18,"_",'Ficha de desembarque'!$J$20,"_",DAY('Ficha de desembarque'!$J$16),MONTH('Ficha de desembarque'!$J$16),YEAR('Ficha de desembarque'!$J$16)))</f>
        <v/>
      </c>
      <c r="B337" s="24"/>
      <c r="C337" s="24"/>
      <c r="D337" s="24"/>
      <c r="E337" s="24"/>
      <c r="F337" s="24"/>
      <c r="G337" s="24"/>
      <c r="H337" s="24"/>
      <c r="I337" s="24"/>
      <c r="J337" s="24"/>
      <c r="K337" s="25"/>
      <c r="L337" s="34"/>
      <c r="N337" s="35">
        <f t="shared" si="10"/>
        <v>0</v>
      </c>
      <c r="O337" s="35">
        <f t="shared" si="11"/>
        <v>0</v>
      </c>
    </row>
    <row r="338" spans="1:15" s="9" customFormat="1" ht="18" x14ac:dyDescent="0.25">
      <c r="A338" s="68" t="str">
        <f>IF(LEN(B337)=0,"",CONCATENATE('Ficha de desembarque'!$J$18,"_",'Ficha de desembarque'!$J$20,"_",DAY('Ficha de desembarque'!$J$16),MONTH('Ficha de desembarque'!$J$16),YEAR('Ficha de desembarque'!$J$16)))</f>
        <v/>
      </c>
      <c r="B338" s="22"/>
      <c r="C338" s="22"/>
      <c r="D338" s="22"/>
      <c r="E338" s="22"/>
      <c r="F338" s="22"/>
      <c r="G338" s="22"/>
      <c r="H338" s="22"/>
      <c r="I338" s="22"/>
      <c r="J338" s="22"/>
      <c r="K338" s="23"/>
      <c r="L338" s="34"/>
      <c r="N338" s="35">
        <f t="shared" si="10"/>
        <v>0</v>
      </c>
      <c r="O338" s="35">
        <f t="shared" si="11"/>
        <v>0</v>
      </c>
    </row>
    <row r="339" spans="1:15" s="9" customFormat="1" ht="18" x14ac:dyDescent="0.25">
      <c r="A339" s="69" t="str">
        <f>IF(LEN(B338)=0,"",CONCATENATE('Ficha de desembarque'!$J$18,"_",'Ficha de desembarque'!$J$20,"_",DAY('Ficha de desembarque'!$J$16),MONTH('Ficha de desembarque'!$J$16),YEAR('Ficha de desembarque'!$J$16)))</f>
        <v/>
      </c>
      <c r="B339" s="24"/>
      <c r="C339" s="24"/>
      <c r="D339" s="24"/>
      <c r="E339" s="24"/>
      <c r="F339" s="24"/>
      <c r="G339" s="24"/>
      <c r="H339" s="24"/>
      <c r="I339" s="24"/>
      <c r="J339" s="24"/>
      <c r="K339" s="25"/>
      <c r="L339" s="34"/>
      <c r="N339" s="35">
        <f t="shared" si="10"/>
        <v>0</v>
      </c>
      <c r="O339" s="35">
        <f t="shared" si="11"/>
        <v>0</v>
      </c>
    </row>
    <row r="340" spans="1:15" s="9" customFormat="1" ht="18" x14ac:dyDescent="0.25">
      <c r="A340" s="68" t="str">
        <f>IF(LEN(B339)=0,"",CONCATENATE('Ficha de desembarque'!$J$18,"_",'Ficha de desembarque'!$J$20,"_",DAY('Ficha de desembarque'!$J$16),MONTH('Ficha de desembarque'!$J$16),YEAR('Ficha de desembarque'!$J$16)))</f>
        <v/>
      </c>
      <c r="B340" s="22"/>
      <c r="C340" s="22"/>
      <c r="D340" s="22"/>
      <c r="E340" s="22"/>
      <c r="F340" s="22"/>
      <c r="G340" s="22"/>
      <c r="H340" s="22"/>
      <c r="I340" s="22"/>
      <c r="J340" s="22"/>
      <c r="K340" s="23"/>
      <c r="L340" s="34"/>
      <c r="N340" s="35">
        <f t="shared" si="10"/>
        <v>0</v>
      </c>
      <c r="O340" s="35">
        <f t="shared" si="11"/>
        <v>0</v>
      </c>
    </row>
    <row r="341" spans="1:15" s="9" customFormat="1" ht="18" x14ac:dyDescent="0.25">
      <c r="A341" s="69" t="str">
        <f>IF(LEN(B340)=0,"",CONCATENATE('Ficha de desembarque'!$J$18,"_",'Ficha de desembarque'!$J$20,"_",DAY('Ficha de desembarque'!$J$16),MONTH('Ficha de desembarque'!$J$16),YEAR('Ficha de desembarque'!$J$16)))</f>
        <v/>
      </c>
      <c r="B341" s="24"/>
      <c r="C341" s="24"/>
      <c r="D341" s="24"/>
      <c r="E341" s="24"/>
      <c r="F341" s="24"/>
      <c r="G341" s="24"/>
      <c r="H341" s="24"/>
      <c r="I341" s="24"/>
      <c r="J341" s="24"/>
      <c r="K341" s="25"/>
      <c r="L341" s="34"/>
      <c r="N341" s="35">
        <f t="shared" si="10"/>
        <v>0</v>
      </c>
      <c r="O341" s="35">
        <f t="shared" si="11"/>
        <v>0</v>
      </c>
    </row>
    <row r="342" spans="1:15" s="9" customFormat="1" ht="18" x14ac:dyDescent="0.25">
      <c r="A342" s="68" t="str">
        <f>IF(LEN(B341)=0,"",CONCATENATE('Ficha de desembarque'!$J$18,"_",'Ficha de desembarque'!$J$20,"_",DAY('Ficha de desembarque'!$J$16),MONTH('Ficha de desembarque'!$J$16),YEAR('Ficha de desembarque'!$J$16)))</f>
        <v/>
      </c>
      <c r="B342" s="22"/>
      <c r="C342" s="22"/>
      <c r="D342" s="22"/>
      <c r="E342" s="22"/>
      <c r="F342" s="22"/>
      <c r="G342" s="22"/>
      <c r="H342" s="22"/>
      <c r="I342" s="22"/>
      <c r="J342" s="22"/>
      <c r="K342" s="23"/>
      <c r="L342" s="34"/>
      <c r="N342" s="35">
        <f t="shared" si="10"/>
        <v>0</v>
      </c>
      <c r="O342" s="35">
        <f t="shared" si="11"/>
        <v>0</v>
      </c>
    </row>
    <row r="343" spans="1:15" s="9" customFormat="1" ht="18" x14ac:dyDescent="0.25">
      <c r="A343" s="69" t="str">
        <f>IF(LEN(B342)=0,"",CONCATENATE('Ficha de desembarque'!$J$18,"_",'Ficha de desembarque'!$J$20,"_",DAY('Ficha de desembarque'!$J$16),MONTH('Ficha de desembarque'!$J$16),YEAR('Ficha de desembarque'!$J$16)))</f>
        <v/>
      </c>
      <c r="B343" s="24"/>
      <c r="C343" s="24"/>
      <c r="D343" s="24"/>
      <c r="E343" s="24"/>
      <c r="F343" s="24"/>
      <c r="G343" s="24"/>
      <c r="H343" s="24"/>
      <c r="I343" s="24"/>
      <c r="J343" s="24"/>
      <c r="K343" s="25"/>
      <c r="L343" s="34"/>
      <c r="N343" s="35">
        <f t="shared" si="10"/>
        <v>0</v>
      </c>
      <c r="O343" s="35">
        <f t="shared" si="11"/>
        <v>0</v>
      </c>
    </row>
    <row r="344" spans="1:15" s="9" customFormat="1" ht="18" x14ac:dyDescent="0.25">
      <c r="A344" s="68" t="str">
        <f>IF(LEN(B343)=0,"",CONCATENATE('Ficha de desembarque'!$J$18,"_",'Ficha de desembarque'!$J$20,"_",DAY('Ficha de desembarque'!$J$16),MONTH('Ficha de desembarque'!$J$16),YEAR('Ficha de desembarque'!$J$16)))</f>
        <v/>
      </c>
      <c r="B344" s="22"/>
      <c r="C344" s="22"/>
      <c r="D344" s="22"/>
      <c r="E344" s="22"/>
      <c r="F344" s="22"/>
      <c r="G344" s="22"/>
      <c r="H344" s="22"/>
      <c r="I344" s="22"/>
      <c r="J344" s="22"/>
      <c r="K344" s="23"/>
      <c r="L344" s="34"/>
      <c r="N344" s="35">
        <f t="shared" si="10"/>
        <v>0</v>
      </c>
      <c r="O344" s="35">
        <f t="shared" si="11"/>
        <v>0</v>
      </c>
    </row>
    <row r="345" spans="1:15" s="9" customFormat="1" ht="18" x14ac:dyDescent="0.25">
      <c r="A345" s="69" t="str">
        <f>IF(LEN(B344)=0,"",CONCATENATE('Ficha de desembarque'!$J$18,"_",'Ficha de desembarque'!$J$20,"_",DAY('Ficha de desembarque'!$J$16),MONTH('Ficha de desembarque'!$J$16),YEAR('Ficha de desembarque'!$J$16)))</f>
        <v/>
      </c>
      <c r="B345" s="24"/>
      <c r="C345" s="24"/>
      <c r="D345" s="24"/>
      <c r="E345" s="24"/>
      <c r="F345" s="24"/>
      <c r="G345" s="24"/>
      <c r="H345" s="24"/>
      <c r="I345" s="24"/>
      <c r="J345" s="24"/>
      <c r="K345" s="25"/>
      <c r="L345" s="34"/>
      <c r="N345" s="35">
        <f t="shared" si="10"/>
        <v>0</v>
      </c>
      <c r="O345" s="35">
        <f t="shared" si="11"/>
        <v>0</v>
      </c>
    </row>
    <row r="346" spans="1:15" s="9" customFormat="1" ht="18" x14ac:dyDescent="0.25">
      <c r="A346" s="68" t="str">
        <f>IF(LEN(B345)=0,"",CONCATENATE('Ficha de desembarque'!$J$18,"_",'Ficha de desembarque'!$J$20,"_",DAY('Ficha de desembarque'!$J$16),MONTH('Ficha de desembarque'!$J$16),YEAR('Ficha de desembarque'!$J$16)))</f>
        <v/>
      </c>
      <c r="B346" s="22"/>
      <c r="C346" s="22"/>
      <c r="D346" s="22"/>
      <c r="E346" s="22"/>
      <c r="F346" s="22"/>
      <c r="G346" s="22"/>
      <c r="H346" s="22"/>
      <c r="I346" s="22"/>
      <c r="J346" s="22"/>
      <c r="K346" s="23"/>
      <c r="L346" s="34"/>
      <c r="N346" s="35">
        <f t="shared" si="10"/>
        <v>0</v>
      </c>
      <c r="O346" s="35">
        <f t="shared" si="11"/>
        <v>0</v>
      </c>
    </row>
    <row r="347" spans="1:15" s="9" customFormat="1" ht="18" x14ac:dyDescent="0.25">
      <c r="A347" s="69" t="str">
        <f>IF(LEN(B346)=0,"",CONCATENATE('Ficha de desembarque'!$J$18,"_",'Ficha de desembarque'!$J$20,"_",DAY('Ficha de desembarque'!$J$16),MONTH('Ficha de desembarque'!$J$16),YEAR('Ficha de desembarque'!$J$16)))</f>
        <v/>
      </c>
      <c r="B347" s="24"/>
      <c r="C347" s="24"/>
      <c r="D347" s="24"/>
      <c r="E347" s="24"/>
      <c r="F347" s="24"/>
      <c r="G347" s="24"/>
      <c r="H347" s="24"/>
      <c r="I347" s="24"/>
      <c r="J347" s="24"/>
      <c r="K347" s="25"/>
      <c r="L347" s="34"/>
      <c r="N347" s="35">
        <f t="shared" si="10"/>
        <v>0</v>
      </c>
      <c r="O347" s="35">
        <f t="shared" si="11"/>
        <v>0</v>
      </c>
    </row>
    <row r="348" spans="1:15" s="9" customFormat="1" ht="18" x14ac:dyDescent="0.25">
      <c r="A348" s="68" t="str">
        <f>IF(LEN(B347)=0,"",CONCATENATE('Ficha de desembarque'!$J$18,"_",'Ficha de desembarque'!$J$20,"_",DAY('Ficha de desembarque'!$J$16),MONTH('Ficha de desembarque'!$J$16),YEAR('Ficha de desembarque'!$J$16)))</f>
        <v/>
      </c>
      <c r="B348" s="22"/>
      <c r="C348" s="22"/>
      <c r="D348" s="22"/>
      <c r="E348" s="22"/>
      <c r="F348" s="22"/>
      <c r="G348" s="22"/>
      <c r="H348" s="22"/>
      <c r="I348" s="22"/>
      <c r="J348" s="22"/>
      <c r="K348" s="23"/>
      <c r="L348" s="34"/>
      <c r="N348" s="35">
        <f t="shared" si="10"/>
        <v>0</v>
      </c>
      <c r="O348" s="35">
        <f t="shared" si="11"/>
        <v>0</v>
      </c>
    </row>
    <row r="349" spans="1:15" s="9" customFormat="1" ht="18" x14ac:dyDescent="0.25">
      <c r="A349" s="69" t="str">
        <f>IF(LEN(B348)=0,"",CONCATENATE('Ficha de desembarque'!$J$18,"_",'Ficha de desembarque'!$J$20,"_",DAY('Ficha de desembarque'!$J$16),MONTH('Ficha de desembarque'!$J$16),YEAR('Ficha de desembarque'!$J$16)))</f>
        <v/>
      </c>
      <c r="B349" s="24"/>
      <c r="C349" s="24"/>
      <c r="D349" s="24"/>
      <c r="E349" s="24"/>
      <c r="F349" s="24"/>
      <c r="G349" s="24"/>
      <c r="H349" s="24"/>
      <c r="I349" s="24"/>
      <c r="J349" s="24"/>
      <c r="K349" s="25"/>
      <c r="L349" s="34"/>
      <c r="N349" s="35">
        <f t="shared" si="10"/>
        <v>0</v>
      </c>
      <c r="O349" s="35">
        <f t="shared" si="11"/>
        <v>0</v>
      </c>
    </row>
    <row r="350" spans="1:15" s="9" customFormat="1" ht="18" x14ac:dyDescent="0.25">
      <c r="A350" s="68" t="str">
        <f>IF(LEN(B349)=0,"",CONCATENATE('Ficha de desembarque'!$J$18,"_",'Ficha de desembarque'!$J$20,"_",DAY('Ficha de desembarque'!$J$16),MONTH('Ficha de desembarque'!$J$16),YEAR('Ficha de desembarque'!$J$16)))</f>
        <v/>
      </c>
      <c r="B350" s="22"/>
      <c r="C350" s="22"/>
      <c r="D350" s="22"/>
      <c r="E350" s="22"/>
      <c r="F350" s="22"/>
      <c r="G350" s="22"/>
      <c r="H350" s="22"/>
      <c r="I350" s="22"/>
      <c r="J350" s="22"/>
      <c r="K350" s="23"/>
      <c r="L350" s="34"/>
      <c r="N350" s="35">
        <f t="shared" si="10"/>
        <v>0</v>
      </c>
      <c r="O350" s="35">
        <f t="shared" si="11"/>
        <v>0</v>
      </c>
    </row>
    <row r="351" spans="1:15" s="9" customFormat="1" ht="18" x14ac:dyDescent="0.25">
      <c r="A351" s="69" t="str">
        <f>IF(LEN(B350)=0,"",CONCATENATE('Ficha de desembarque'!$J$18,"_",'Ficha de desembarque'!$J$20,"_",DAY('Ficha de desembarque'!$J$16),MONTH('Ficha de desembarque'!$J$16),YEAR('Ficha de desembarque'!$J$16)))</f>
        <v/>
      </c>
      <c r="B351" s="24"/>
      <c r="C351" s="24"/>
      <c r="D351" s="24"/>
      <c r="E351" s="24"/>
      <c r="F351" s="24"/>
      <c r="G351" s="24"/>
      <c r="H351" s="24"/>
      <c r="I351" s="24"/>
      <c r="J351" s="24"/>
      <c r="K351" s="25"/>
      <c r="L351" s="34"/>
      <c r="N351" s="35">
        <f t="shared" si="10"/>
        <v>0</v>
      </c>
      <c r="O351" s="35">
        <f t="shared" si="11"/>
        <v>0</v>
      </c>
    </row>
    <row r="352" spans="1:15" s="9" customFormat="1" ht="18" x14ac:dyDescent="0.25">
      <c r="A352" s="68" t="str">
        <f>IF(LEN(B351)=0,"",CONCATENATE('Ficha de desembarque'!$J$18,"_",'Ficha de desembarque'!$J$20,"_",DAY('Ficha de desembarque'!$J$16),MONTH('Ficha de desembarque'!$J$16),YEAR('Ficha de desembarque'!$J$16)))</f>
        <v/>
      </c>
      <c r="B352" s="22"/>
      <c r="C352" s="22"/>
      <c r="D352" s="22"/>
      <c r="E352" s="22"/>
      <c r="F352" s="22"/>
      <c r="G352" s="22"/>
      <c r="H352" s="22"/>
      <c r="I352" s="22"/>
      <c r="J352" s="22"/>
      <c r="K352" s="23"/>
      <c r="L352" s="34"/>
      <c r="N352" s="35">
        <f t="shared" si="10"/>
        <v>0</v>
      </c>
      <c r="O352" s="35">
        <f t="shared" si="11"/>
        <v>0</v>
      </c>
    </row>
    <row r="353" spans="1:15" s="9" customFormat="1" ht="18" x14ac:dyDescent="0.25">
      <c r="A353" s="69" t="str">
        <f>IF(LEN(B352)=0,"",CONCATENATE('Ficha de desembarque'!$J$18,"_",'Ficha de desembarque'!$J$20,"_",DAY('Ficha de desembarque'!$J$16),MONTH('Ficha de desembarque'!$J$16),YEAR('Ficha de desembarque'!$J$16)))</f>
        <v/>
      </c>
      <c r="B353" s="24"/>
      <c r="C353" s="24"/>
      <c r="D353" s="24"/>
      <c r="E353" s="24"/>
      <c r="F353" s="24"/>
      <c r="G353" s="24"/>
      <c r="H353" s="24"/>
      <c r="I353" s="24"/>
      <c r="J353" s="24"/>
      <c r="K353" s="25"/>
      <c r="L353" s="34"/>
      <c r="N353" s="35">
        <f t="shared" si="10"/>
        <v>0</v>
      </c>
      <c r="O353" s="35">
        <f t="shared" si="11"/>
        <v>0</v>
      </c>
    </row>
    <row r="354" spans="1:15" s="9" customFormat="1" ht="18" x14ac:dyDescent="0.25">
      <c r="A354" s="68" t="str">
        <f>IF(LEN(B353)=0,"",CONCATENATE('Ficha de desembarque'!$J$18,"_",'Ficha de desembarque'!$J$20,"_",DAY('Ficha de desembarque'!$J$16),MONTH('Ficha de desembarque'!$J$16),YEAR('Ficha de desembarque'!$J$16)))</f>
        <v/>
      </c>
      <c r="B354" s="22"/>
      <c r="C354" s="22"/>
      <c r="D354" s="22"/>
      <c r="E354" s="22"/>
      <c r="F354" s="22"/>
      <c r="G354" s="22"/>
      <c r="H354" s="22"/>
      <c r="I354" s="22"/>
      <c r="J354" s="22"/>
      <c r="K354" s="23"/>
      <c r="L354" s="34"/>
      <c r="N354" s="35">
        <f t="shared" si="10"/>
        <v>0</v>
      </c>
      <c r="O354" s="35">
        <f t="shared" si="11"/>
        <v>0</v>
      </c>
    </row>
    <row r="355" spans="1:15" s="9" customFormat="1" ht="18" x14ac:dyDescent="0.25">
      <c r="A355" s="69" t="str">
        <f>IF(LEN(B354)=0,"",CONCATENATE('Ficha de desembarque'!$J$18,"_",'Ficha de desembarque'!$J$20,"_",DAY('Ficha de desembarque'!$J$16),MONTH('Ficha de desembarque'!$J$16),YEAR('Ficha de desembarque'!$J$16)))</f>
        <v/>
      </c>
      <c r="B355" s="24"/>
      <c r="C355" s="24"/>
      <c r="D355" s="24"/>
      <c r="E355" s="24"/>
      <c r="F355" s="24"/>
      <c r="G355" s="24"/>
      <c r="H355" s="24"/>
      <c r="I355" s="24"/>
      <c r="J355" s="24"/>
      <c r="K355" s="25"/>
      <c r="L355" s="34"/>
      <c r="N355" s="35">
        <f t="shared" si="10"/>
        <v>0</v>
      </c>
      <c r="O355" s="35">
        <f t="shared" si="11"/>
        <v>0</v>
      </c>
    </row>
    <row r="356" spans="1:15" s="9" customFormat="1" ht="18" x14ac:dyDescent="0.25">
      <c r="A356" s="68" t="str">
        <f>IF(LEN(B355)=0,"",CONCATENATE('Ficha de desembarque'!$J$18,"_",'Ficha de desembarque'!$J$20,"_",DAY('Ficha de desembarque'!$J$16),MONTH('Ficha de desembarque'!$J$16),YEAR('Ficha de desembarque'!$J$16)))</f>
        <v/>
      </c>
      <c r="B356" s="22"/>
      <c r="C356" s="22"/>
      <c r="D356" s="22"/>
      <c r="E356" s="22"/>
      <c r="F356" s="22"/>
      <c r="G356" s="22"/>
      <c r="H356" s="22"/>
      <c r="I356" s="22"/>
      <c r="J356" s="22"/>
      <c r="K356" s="23"/>
      <c r="L356" s="34"/>
      <c r="N356" s="35">
        <f t="shared" si="10"/>
        <v>0</v>
      </c>
      <c r="O356" s="35">
        <f t="shared" si="11"/>
        <v>0</v>
      </c>
    </row>
    <row r="357" spans="1:15" s="9" customFormat="1" ht="18" x14ac:dyDescent="0.25">
      <c r="A357" s="69" t="str">
        <f>IF(LEN(B356)=0,"",CONCATENATE('Ficha de desembarque'!$J$18,"_",'Ficha de desembarque'!$J$20,"_",DAY('Ficha de desembarque'!$J$16),MONTH('Ficha de desembarque'!$J$16),YEAR('Ficha de desembarque'!$J$16)))</f>
        <v/>
      </c>
      <c r="B357" s="24"/>
      <c r="C357" s="24"/>
      <c r="D357" s="24"/>
      <c r="E357" s="24"/>
      <c r="F357" s="24"/>
      <c r="G357" s="24"/>
      <c r="H357" s="24"/>
      <c r="I357" s="24"/>
      <c r="J357" s="24"/>
      <c r="K357" s="25"/>
      <c r="L357" s="34"/>
      <c r="N357" s="35">
        <f t="shared" si="10"/>
        <v>0</v>
      </c>
      <c r="O357" s="35">
        <f t="shared" si="11"/>
        <v>0</v>
      </c>
    </row>
    <row r="358" spans="1:15" s="9" customFormat="1" ht="18" x14ac:dyDescent="0.25">
      <c r="A358" s="68" t="str">
        <f>IF(LEN(B357)=0,"",CONCATENATE('Ficha de desembarque'!$J$18,"_",'Ficha de desembarque'!$J$20,"_",DAY('Ficha de desembarque'!$J$16),MONTH('Ficha de desembarque'!$J$16),YEAR('Ficha de desembarque'!$J$16)))</f>
        <v/>
      </c>
      <c r="B358" s="22"/>
      <c r="C358" s="22"/>
      <c r="D358" s="22"/>
      <c r="E358" s="22"/>
      <c r="F358" s="22"/>
      <c r="G358" s="22"/>
      <c r="H358" s="22"/>
      <c r="I358" s="22"/>
      <c r="J358" s="22"/>
      <c r="K358" s="23"/>
      <c r="L358" s="34"/>
      <c r="N358" s="35">
        <f t="shared" si="10"/>
        <v>0</v>
      </c>
      <c r="O358" s="35">
        <f t="shared" si="11"/>
        <v>0</v>
      </c>
    </row>
    <row r="359" spans="1:15" s="9" customFormat="1" ht="18" x14ac:dyDescent="0.25">
      <c r="A359" s="69" t="str">
        <f>IF(LEN(B358)=0,"",CONCATENATE('Ficha de desembarque'!$J$18,"_",'Ficha de desembarque'!$J$20,"_",DAY('Ficha de desembarque'!$J$16),MONTH('Ficha de desembarque'!$J$16),YEAR('Ficha de desembarque'!$J$16)))</f>
        <v/>
      </c>
      <c r="B359" s="24"/>
      <c r="C359" s="24"/>
      <c r="D359" s="24"/>
      <c r="E359" s="24"/>
      <c r="F359" s="24"/>
      <c r="G359" s="24"/>
      <c r="H359" s="24"/>
      <c r="I359" s="24"/>
      <c r="J359" s="24"/>
      <c r="K359" s="25"/>
      <c r="L359" s="34"/>
      <c r="N359" s="35">
        <f t="shared" si="10"/>
        <v>0</v>
      </c>
      <c r="O359" s="35">
        <f t="shared" si="11"/>
        <v>0</v>
      </c>
    </row>
    <row r="360" spans="1:15" s="9" customFormat="1" ht="18" x14ac:dyDescent="0.25">
      <c r="A360" s="68" t="str">
        <f>IF(LEN(B359)=0,"",CONCATENATE('Ficha de desembarque'!$J$18,"_",'Ficha de desembarque'!$J$20,"_",DAY('Ficha de desembarque'!$J$16),MONTH('Ficha de desembarque'!$J$16),YEAR('Ficha de desembarque'!$J$16)))</f>
        <v/>
      </c>
      <c r="B360" s="22"/>
      <c r="C360" s="22"/>
      <c r="D360" s="22"/>
      <c r="E360" s="22"/>
      <c r="F360" s="22"/>
      <c r="G360" s="22"/>
      <c r="H360" s="22"/>
      <c r="I360" s="22"/>
      <c r="J360" s="22"/>
      <c r="K360" s="23"/>
      <c r="L360" s="34"/>
      <c r="N360" s="35">
        <f t="shared" si="10"/>
        <v>0</v>
      </c>
      <c r="O360" s="35">
        <f t="shared" si="11"/>
        <v>0</v>
      </c>
    </row>
    <row r="361" spans="1:15" s="9" customFormat="1" ht="18" x14ac:dyDescent="0.25">
      <c r="A361" s="69" t="str">
        <f>IF(LEN(B360)=0,"",CONCATENATE('Ficha de desembarque'!$J$18,"_",'Ficha de desembarque'!$J$20,"_",DAY('Ficha de desembarque'!$J$16),MONTH('Ficha de desembarque'!$J$16),YEAR('Ficha de desembarque'!$J$16)))</f>
        <v/>
      </c>
      <c r="B361" s="24"/>
      <c r="C361" s="24"/>
      <c r="D361" s="24"/>
      <c r="E361" s="24"/>
      <c r="F361" s="24"/>
      <c r="G361" s="24"/>
      <c r="H361" s="24"/>
      <c r="I361" s="24"/>
      <c r="J361" s="24"/>
      <c r="K361" s="25"/>
      <c r="L361" s="34"/>
      <c r="N361" s="35">
        <f t="shared" si="10"/>
        <v>0</v>
      </c>
      <c r="O361" s="35">
        <f t="shared" si="11"/>
        <v>0</v>
      </c>
    </row>
    <row r="362" spans="1:15" s="9" customFormat="1" ht="18" x14ac:dyDescent="0.25">
      <c r="A362" s="68" t="str">
        <f>IF(LEN(B361)=0,"",CONCATENATE('Ficha de desembarque'!$J$18,"_",'Ficha de desembarque'!$J$20,"_",DAY('Ficha de desembarque'!$J$16),MONTH('Ficha de desembarque'!$J$16),YEAR('Ficha de desembarque'!$J$16)))</f>
        <v/>
      </c>
      <c r="B362" s="22"/>
      <c r="C362" s="22"/>
      <c r="D362" s="22"/>
      <c r="E362" s="22"/>
      <c r="F362" s="22"/>
      <c r="G362" s="22"/>
      <c r="H362" s="22"/>
      <c r="I362" s="22"/>
      <c r="J362" s="22"/>
      <c r="K362" s="23"/>
      <c r="L362" s="34"/>
      <c r="N362" s="35">
        <f t="shared" si="10"/>
        <v>0</v>
      </c>
      <c r="O362" s="35">
        <f t="shared" si="11"/>
        <v>0</v>
      </c>
    </row>
    <row r="363" spans="1:15" s="9" customFormat="1" ht="18" x14ac:dyDescent="0.25">
      <c r="A363" s="69" t="str">
        <f>IF(LEN(B362)=0,"",CONCATENATE('Ficha de desembarque'!$J$18,"_",'Ficha de desembarque'!$J$20,"_",DAY('Ficha de desembarque'!$J$16),MONTH('Ficha de desembarque'!$J$16),YEAR('Ficha de desembarque'!$J$16)))</f>
        <v/>
      </c>
      <c r="B363" s="24"/>
      <c r="C363" s="24"/>
      <c r="D363" s="24"/>
      <c r="E363" s="24"/>
      <c r="F363" s="24"/>
      <c r="G363" s="24"/>
      <c r="H363" s="24"/>
      <c r="I363" s="24"/>
      <c r="J363" s="24"/>
      <c r="K363" s="25"/>
      <c r="L363" s="34"/>
      <c r="N363" s="35">
        <f t="shared" si="10"/>
        <v>0</v>
      </c>
      <c r="O363" s="35">
        <f t="shared" si="11"/>
        <v>0</v>
      </c>
    </row>
    <row r="364" spans="1:15" s="9" customFormat="1" ht="18" x14ac:dyDescent="0.25">
      <c r="A364" s="68" t="str">
        <f>IF(LEN(B363)=0,"",CONCATENATE('Ficha de desembarque'!$J$18,"_",'Ficha de desembarque'!$J$20,"_",DAY('Ficha de desembarque'!$J$16),MONTH('Ficha de desembarque'!$J$16),YEAR('Ficha de desembarque'!$J$16)))</f>
        <v/>
      </c>
      <c r="B364" s="22"/>
      <c r="C364" s="22"/>
      <c r="D364" s="22"/>
      <c r="E364" s="22"/>
      <c r="F364" s="22"/>
      <c r="G364" s="22"/>
      <c r="H364" s="22"/>
      <c r="I364" s="22"/>
      <c r="J364" s="22"/>
      <c r="K364" s="23"/>
      <c r="L364" s="34"/>
      <c r="N364" s="35">
        <f t="shared" si="10"/>
        <v>0</v>
      </c>
      <c r="O364" s="35">
        <f t="shared" si="11"/>
        <v>0</v>
      </c>
    </row>
    <row r="365" spans="1:15" s="9" customFormat="1" ht="18" x14ac:dyDescent="0.25">
      <c r="A365" s="69" t="str">
        <f>IF(LEN(B364)=0,"",CONCATENATE('Ficha de desembarque'!$J$18,"_",'Ficha de desembarque'!$J$20,"_",DAY('Ficha de desembarque'!$J$16),MONTH('Ficha de desembarque'!$J$16),YEAR('Ficha de desembarque'!$J$16)))</f>
        <v/>
      </c>
      <c r="B365" s="24"/>
      <c r="C365" s="24"/>
      <c r="D365" s="24"/>
      <c r="E365" s="24"/>
      <c r="F365" s="24"/>
      <c r="G365" s="24"/>
      <c r="H365" s="24"/>
      <c r="I365" s="24"/>
      <c r="J365" s="24"/>
      <c r="K365" s="25"/>
      <c r="L365" s="34"/>
      <c r="N365" s="35">
        <f t="shared" si="10"/>
        <v>0</v>
      </c>
      <c r="O365" s="35">
        <f t="shared" si="11"/>
        <v>0</v>
      </c>
    </row>
    <row r="366" spans="1:15" s="9" customFormat="1" ht="18" x14ac:dyDescent="0.25">
      <c r="A366" s="68" t="str">
        <f>IF(LEN(B365)=0,"",CONCATENATE('Ficha de desembarque'!$J$18,"_",'Ficha de desembarque'!$J$20,"_",DAY('Ficha de desembarque'!$J$16),MONTH('Ficha de desembarque'!$J$16),YEAR('Ficha de desembarque'!$J$16)))</f>
        <v/>
      </c>
      <c r="B366" s="22"/>
      <c r="C366" s="22"/>
      <c r="D366" s="22"/>
      <c r="E366" s="22"/>
      <c r="F366" s="22"/>
      <c r="G366" s="22"/>
      <c r="H366" s="22"/>
      <c r="I366" s="22"/>
      <c r="J366" s="22"/>
      <c r="K366" s="23"/>
      <c r="L366" s="34"/>
      <c r="N366" s="35">
        <f t="shared" si="10"/>
        <v>0</v>
      </c>
      <c r="O366" s="35">
        <f t="shared" si="11"/>
        <v>0</v>
      </c>
    </row>
    <row r="367" spans="1:15" s="9" customFormat="1" ht="18" x14ac:dyDescent="0.25">
      <c r="A367" s="69" t="str">
        <f>IF(LEN(B366)=0,"",CONCATENATE('Ficha de desembarque'!$J$18,"_",'Ficha de desembarque'!$J$20,"_",DAY('Ficha de desembarque'!$J$16),MONTH('Ficha de desembarque'!$J$16),YEAR('Ficha de desembarque'!$J$16)))</f>
        <v/>
      </c>
      <c r="B367" s="24"/>
      <c r="C367" s="24"/>
      <c r="D367" s="24"/>
      <c r="E367" s="24"/>
      <c r="F367" s="24"/>
      <c r="G367" s="24"/>
      <c r="H367" s="24"/>
      <c r="I367" s="24"/>
      <c r="J367" s="24"/>
      <c r="K367" s="25"/>
      <c r="L367" s="34"/>
      <c r="N367" s="35">
        <f t="shared" si="10"/>
        <v>0</v>
      </c>
      <c r="O367" s="35">
        <f t="shared" si="11"/>
        <v>0</v>
      </c>
    </row>
    <row r="368" spans="1:15" s="9" customFormat="1" ht="18" x14ac:dyDescent="0.25">
      <c r="A368" s="68" t="str">
        <f>IF(LEN(B367)=0,"",CONCATENATE('Ficha de desembarque'!$J$18,"_",'Ficha de desembarque'!$J$20,"_",DAY('Ficha de desembarque'!$J$16),MONTH('Ficha de desembarque'!$J$16),YEAR('Ficha de desembarque'!$J$16)))</f>
        <v/>
      </c>
      <c r="B368" s="22"/>
      <c r="C368" s="22"/>
      <c r="D368" s="22"/>
      <c r="E368" s="22"/>
      <c r="F368" s="22"/>
      <c r="G368" s="22"/>
      <c r="H368" s="22"/>
      <c r="I368" s="22"/>
      <c r="J368" s="22"/>
      <c r="K368" s="23"/>
      <c r="L368" s="34"/>
      <c r="N368" s="35">
        <f t="shared" si="10"/>
        <v>0</v>
      </c>
      <c r="O368" s="35">
        <f t="shared" si="11"/>
        <v>0</v>
      </c>
    </row>
    <row r="369" spans="1:15" s="9" customFormat="1" ht="18" x14ac:dyDescent="0.25">
      <c r="A369" s="69" t="str">
        <f>IF(LEN(B368)=0,"",CONCATENATE('Ficha de desembarque'!$J$18,"_",'Ficha de desembarque'!$J$20,"_",DAY('Ficha de desembarque'!$J$16),MONTH('Ficha de desembarque'!$J$16),YEAR('Ficha de desembarque'!$J$16)))</f>
        <v/>
      </c>
      <c r="B369" s="24"/>
      <c r="C369" s="24"/>
      <c r="D369" s="24"/>
      <c r="E369" s="24"/>
      <c r="F369" s="24"/>
      <c r="G369" s="24"/>
      <c r="H369" s="24"/>
      <c r="I369" s="24"/>
      <c r="J369" s="24"/>
      <c r="K369" s="25"/>
      <c r="L369" s="34"/>
      <c r="N369" s="35">
        <f t="shared" si="10"/>
        <v>0</v>
      </c>
      <c r="O369" s="35">
        <f t="shared" si="11"/>
        <v>0</v>
      </c>
    </row>
    <row r="370" spans="1:15" s="9" customFormat="1" ht="18" x14ac:dyDescent="0.25">
      <c r="A370" s="68" t="str">
        <f>IF(LEN(B369)=0,"",CONCATENATE('Ficha de desembarque'!$J$18,"_",'Ficha de desembarque'!$J$20,"_",DAY('Ficha de desembarque'!$J$16),MONTH('Ficha de desembarque'!$J$16),YEAR('Ficha de desembarque'!$J$16)))</f>
        <v/>
      </c>
      <c r="B370" s="22"/>
      <c r="C370" s="22"/>
      <c r="D370" s="22"/>
      <c r="E370" s="22"/>
      <c r="F370" s="22"/>
      <c r="G370" s="22"/>
      <c r="H370" s="22"/>
      <c r="I370" s="22"/>
      <c r="J370" s="22"/>
      <c r="K370" s="23"/>
      <c r="L370" s="34"/>
      <c r="N370" s="35">
        <f t="shared" si="10"/>
        <v>0</v>
      </c>
      <c r="O370" s="35">
        <f t="shared" si="11"/>
        <v>0</v>
      </c>
    </row>
    <row r="371" spans="1:15" s="9" customFormat="1" ht="18" x14ac:dyDescent="0.25">
      <c r="A371" s="69" t="str">
        <f>IF(LEN(B370)=0,"",CONCATENATE('Ficha de desembarque'!$J$18,"_",'Ficha de desembarque'!$J$20,"_",DAY('Ficha de desembarque'!$J$16),MONTH('Ficha de desembarque'!$J$16),YEAR('Ficha de desembarque'!$J$16)))</f>
        <v/>
      </c>
      <c r="B371" s="24"/>
      <c r="C371" s="24"/>
      <c r="D371" s="24"/>
      <c r="E371" s="24"/>
      <c r="F371" s="24"/>
      <c r="G371" s="24"/>
      <c r="H371" s="24"/>
      <c r="I371" s="24"/>
      <c r="J371" s="24"/>
      <c r="K371" s="25"/>
      <c r="L371" s="34"/>
      <c r="N371" s="35">
        <f t="shared" si="10"/>
        <v>0</v>
      </c>
      <c r="O371" s="35">
        <f t="shared" si="11"/>
        <v>0</v>
      </c>
    </row>
    <row r="372" spans="1:15" s="9" customFormat="1" ht="18" x14ac:dyDescent="0.25">
      <c r="A372" s="68" t="str">
        <f>IF(LEN(B371)=0,"",CONCATENATE('Ficha de desembarque'!$J$18,"_",'Ficha de desembarque'!$J$20,"_",DAY('Ficha de desembarque'!$J$16),MONTH('Ficha de desembarque'!$J$16),YEAR('Ficha de desembarque'!$J$16)))</f>
        <v/>
      </c>
      <c r="B372" s="22"/>
      <c r="C372" s="22"/>
      <c r="D372" s="22"/>
      <c r="E372" s="22"/>
      <c r="F372" s="22"/>
      <c r="G372" s="22"/>
      <c r="H372" s="22"/>
      <c r="I372" s="22"/>
      <c r="J372" s="22"/>
      <c r="K372" s="23"/>
      <c r="L372" s="34"/>
      <c r="N372" s="35">
        <f t="shared" si="10"/>
        <v>0</v>
      </c>
      <c r="O372" s="35">
        <f t="shared" si="11"/>
        <v>0</v>
      </c>
    </row>
    <row r="373" spans="1:15" s="9" customFormat="1" ht="18" x14ac:dyDescent="0.25">
      <c r="A373" s="69" t="str">
        <f>IF(LEN(B372)=0,"",CONCATENATE('Ficha de desembarque'!$J$18,"_",'Ficha de desembarque'!$J$20,"_",DAY('Ficha de desembarque'!$J$16),MONTH('Ficha de desembarque'!$J$16),YEAR('Ficha de desembarque'!$J$16)))</f>
        <v/>
      </c>
      <c r="B373" s="24"/>
      <c r="C373" s="24"/>
      <c r="D373" s="24"/>
      <c r="E373" s="24"/>
      <c r="F373" s="24"/>
      <c r="G373" s="24"/>
      <c r="H373" s="24"/>
      <c r="I373" s="24"/>
      <c r="J373" s="24"/>
      <c r="K373" s="25"/>
      <c r="L373" s="34"/>
      <c r="N373" s="35">
        <f t="shared" si="10"/>
        <v>0</v>
      </c>
      <c r="O373" s="35">
        <f t="shared" si="11"/>
        <v>0</v>
      </c>
    </row>
    <row r="374" spans="1:15" s="9" customFormat="1" ht="18" x14ac:dyDescent="0.25">
      <c r="A374" s="68" t="str">
        <f>IF(LEN(B373)=0,"",CONCATENATE('Ficha de desembarque'!$J$18,"_",'Ficha de desembarque'!$J$20,"_",DAY('Ficha de desembarque'!$J$16),MONTH('Ficha de desembarque'!$J$16),YEAR('Ficha de desembarque'!$J$16)))</f>
        <v/>
      </c>
      <c r="B374" s="22"/>
      <c r="C374" s="22"/>
      <c r="D374" s="22"/>
      <c r="E374" s="22"/>
      <c r="F374" s="22"/>
      <c r="G374" s="22"/>
      <c r="H374" s="22"/>
      <c r="I374" s="22"/>
      <c r="J374" s="22"/>
      <c r="K374" s="23"/>
      <c r="L374" s="34"/>
      <c r="N374" s="35">
        <f t="shared" si="10"/>
        <v>0</v>
      </c>
      <c r="O374" s="35">
        <f t="shared" si="11"/>
        <v>0</v>
      </c>
    </row>
    <row r="375" spans="1:15" s="9" customFormat="1" ht="18" x14ac:dyDescent="0.25">
      <c r="A375" s="69" t="str">
        <f>IF(LEN(B374)=0,"",CONCATENATE('Ficha de desembarque'!$J$18,"_",'Ficha de desembarque'!$J$20,"_",DAY('Ficha de desembarque'!$J$16),MONTH('Ficha de desembarque'!$J$16),YEAR('Ficha de desembarque'!$J$16)))</f>
        <v/>
      </c>
      <c r="B375" s="24"/>
      <c r="C375" s="24"/>
      <c r="D375" s="24"/>
      <c r="E375" s="24"/>
      <c r="F375" s="24"/>
      <c r="G375" s="24"/>
      <c r="H375" s="24"/>
      <c r="I375" s="24"/>
      <c r="J375" s="24"/>
      <c r="K375" s="25"/>
      <c r="L375" s="34"/>
      <c r="N375" s="35">
        <f t="shared" si="10"/>
        <v>0</v>
      </c>
      <c r="O375" s="35">
        <f t="shared" si="11"/>
        <v>0</v>
      </c>
    </row>
    <row r="376" spans="1:15" s="9" customFormat="1" ht="18" x14ac:dyDescent="0.25">
      <c r="A376" s="68" t="str">
        <f>IF(LEN(B375)=0,"",CONCATENATE('Ficha de desembarque'!$J$18,"_",'Ficha de desembarque'!$J$20,"_",DAY('Ficha de desembarque'!$J$16),MONTH('Ficha de desembarque'!$J$16),YEAR('Ficha de desembarque'!$J$16)))</f>
        <v/>
      </c>
      <c r="B376" s="22"/>
      <c r="C376" s="22"/>
      <c r="D376" s="22"/>
      <c r="E376" s="22"/>
      <c r="F376" s="22"/>
      <c r="G376" s="22"/>
      <c r="H376" s="22"/>
      <c r="I376" s="22"/>
      <c r="J376" s="22"/>
      <c r="K376" s="23"/>
      <c r="L376" s="34"/>
      <c r="N376" s="35">
        <f t="shared" si="10"/>
        <v>0</v>
      </c>
      <c r="O376" s="35">
        <f t="shared" si="11"/>
        <v>0</v>
      </c>
    </row>
    <row r="377" spans="1:15" s="9" customFormat="1" ht="18" x14ac:dyDescent="0.25">
      <c r="A377" s="69" t="str">
        <f>IF(LEN(B376)=0,"",CONCATENATE('Ficha de desembarque'!$J$18,"_",'Ficha de desembarque'!$J$20,"_",DAY('Ficha de desembarque'!$J$16),MONTH('Ficha de desembarque'!$J$16),YEAR('Ficha de desembarque'!$J$16)))</f>
        <v/>
      </c>
      <c r="B377" s="24"/>
      <c r="C377" s="24"/>
      <c r="D377" s="24"/>
      <c r="E377" s="24"/>
      <c r="F377" s="24"/>
      <c r="G377" s="24"/>
      <c r="H377" s="24"/>
      <c r="I377" s="24"/>
      <c r="J377" s="24"/>
      <c r="K377" s="25"/>
      <c r="L377" s="34"/>
      <c r="N377" s="35">
        <f t="shared" si="10"/>
        <v>0</v>
      </c>
      <c r="O377" s="35">
        <f t="shared" si="11"/>
        <v>0</v>
      </c>
    </row>
    <row r="378" spans="1:15" s="9" customFormat="1" ht="18" x14ac:dyDescent="0.25">
      <c r="A378" s="68" t="str">
        <f>IF(LEN(B377)=0,"",CONCATENATE('Ficha de desembarque'!$J$18,"_",'Ficha de desembarque'!$J$20,"_",DAY('Ficha de desembarque'!$J$16),MONTH('Ficha de desembarque'!$J$16),YEAR('Ficha de desembarque'!$J$16)))</f>
        <v/>
      </c>
      <c r="B378" s="22"/>
      <c r="C378" s="22"/>
      <c r="D378" s="22"/>
      <c r="E378" s="22"/>
      <c r="F378" s="22"/>
      <c r="G378" s="22"/>
      <c r="H378" s="22"/>
      <c r="I378" s="22"/>
      <c r="J378" s="22"/>
      <c r="K378" s="23"/>
      <c r="L378" s="34"/>
      <c r="N378" s="35">
        <f t="shared" si="10"/>
        <v>0</v>
      </c>
      <c r="O378" s="35">
        <f t="shared" si="11"/>
        <v>0</v>
      </c>
    </row>
    <row r="379" spans="1:15" s="9" customFormat="1" ht="18" x14ac:dyDescent="0.25">
      <c r="A379" s="69" t="str">
        <f>IF(LEN(B378)=0,"",CONCATENATE('Ficha de desembarque'!$J$18,"_",'Ficha de desembarque'!$J$20,"_",DAY('Ficha de desembarque'!$J$16),MONTH('Ficha de desembarque'!$J$16),YEAR('Ficha de desembarque'!$J$16)))</f>
        <v/>
      </c>
      <c r="B379" s="24"/>
      <c r="C379" s="24"/>
      <c r="D379" s="24"/>
      <c r="E379" s="24"/>
      <c r="F379" s="24"/>
      <c r="G379" s="24"/>
      <c r="H379" s="24"/>
      <c r="I379" s="24"/>
      <c r="J379" s="24"/>
      <c r="K379" s="25"/>
      <c r="L379" s="34"/>
      <c r="N379" s="35">
        <f t="shared" si="10"/>
        <v>0</v>
      </c>
      <c r="O379" s="35">
        <f t="shared" si="11"/>
        <v>0</v>
      </c>
    </row>
    <row r="380" spans="1:15" s="9" customFormat="1" ht="18" x14ac:dyDescent="0.25">
      <c r="A380" s="68" t="str">
        <f>IF(LEN(B379)=0,"",CONCATENATE('Ficha de desembarque'!$J$18,"_",'Ficha de desembarque'!$J$20,"_",DAY('Ficha de desembarque'!$J$16),MONTH('Ficha de desembarque'!$J$16),YEAR('Ficha de desembarque'!$J$16)))</f>
        <v/>
      </c>
      <c r="B380" s="22"/>
      <c r="C380" s="22"/>
      <c r="D380" s="22"/>
      <c r="E380" s="22"/>
      <c r="F380" s="22"/>
      <c r="G380" s="22"/>
      <c r="H380" s="22"/>
      <c r="I380" s="22"/>
      <c r="J380" s="22"/>
      <c r="K380" s="23"/>
      <c r="L380" s="34"/>
      <c r="N380" s="35">
        <f t="shared" si="10"/>
        <v>0</v>
      </c>
      <c r="O380" s="35">
        <f t="shared" si="11"/>
        <v>0</v>
      </c>
    </row>
    <row r="381" spans="1:15" s="9" customFormat="1" ht="18" x14ac:dyDescent="0.25">
      <c r="A381" s="69" t="str">
        <f>IF(LEN(B380)=0,"",CONCATENATE('Ficha de desembarque'!$J$18,"_",'Ficha de desembarque'!$J$20,"_",DAY('Ficha de desembarque'!$J$16),MONTH('Ficha de desembarque'!$J$16),YEAR('Ficha de desembarque'!$J$16)))</f>
        <v/>
      </c>
      <c r="B381" s="24"/>
      <c r="C381" s="24"/>
      <c r="D381" s="24"/>
      <c r="E381" s="24"/>
      <c r="F381" s="24"/>
      <c r="G381" s="24"/>
      <c r="H381" s="24"/>
      <c r="I381" s="24"/>
      <c r="J381" s="24"/>
      <c r="K381" s="25"/>
      <c r="L381" s="34"/>
      <c r="N381" s="35">
        <f t="shared" si="10"/>
        <v>0</v>
      </c>
      <c r="O381" s="35">
        <f t="shared" si="11"/>
        <v>0</v>
      </c>
    </row>
    <row r="382" spans="1:15" s="9" customFormat="1" ht="18" x14ac:dyDescent="0.25">
      <c r="A382" s="68" t="str">
        <f>IF(LEN(B381)=0,"",CONCATENATE('Ficha de desembarque'!$J$18,"_",'Ficha de desembarque'!$J$20,"_",DAY('Ficha de desembarque'!$J$16),MONTH('Ficha de desembarque'!$J$16),YEAR('Ficha de desembarque'!$J$16)))</f>
        <v/>
      </c>
      <c r="B382" s="22"/>
      <c r="C382" s="22"/>
      <c r="D382" s="22"/>
      <c r="E382" s="22"/>
      <c r="F382" s="22"/>
      <c r="G382" s="22"/>
      <c r="H382" s="22"/>
      <c r="I382" s="22"/>
      <c r="J382" s="22"/>
      <c r="K382" s="23"/>
      <c r="L382" s="34"/>
      <c r="N382" s="35">
        <f t="shared" si="10"/>
        <v>0</v>
      </c>
      <c r="O382" s="35">
        <f t="shared" si="11"/>
        <v>0</v>
      </c>
    </row>
    <row r="383" spans="1:15" s="9" customFormat="1" ht="18" x14ac:dyDescent="0.25">
      <c r="A383" s="69" t="str">
        <f>IF(LEN(B382)=0,"",CONCATENATE('Ficha de desembarque'!$J$18,"_",'Ficha de desembarque'!$J$20,"_",DAY('Ficha de desembarque'!$J$16),MONTH('Ficha de desembarque'!$J$16),YEAR('Ficha de desembarque'!$J$16)))</f>
        <v/>
      </c>
      <c r="B383" s="24"/>
      <c r="C383" s="24"/>
      <c r="D383" s="24"/>
      <c r="E383" s="24"/>
      <c r="F383" s="24"/>
      <c r="G383" s="24"/>
      <c r="H383" s="24"/>
      <c r="I383" s="24"/>
      <c r="J383" s="24"/>
      <c r="K383" s="25"/>
      <c r="L383" s="34"/>
      <c r="N383" s="35">
        <f t="shared" si="10"/>
        <v>0</v>
      </c>
      <c r="O383" s="35">
        <f t="shared" si="11"/>
        <v>0</v>
      </c>
    </row>
    <row r="384" spans="1:15" s="9" customFormat="1" ht="18" x14ac:dyDescent="0.25">
      <c r="A384" s="68" t="str">
        <f>IF(LEN(B383)=0,"",CONCATENATE('Ficha de desembarque'!$J$18,"_",'Ficha de desembarque'!$J$20,"_",DAY('Ficha de desembarque'!$J$16),MONTH('Ficha de desembarque'!$J$16),YEAR('Ficha de desembarque'!$J$16)))</f>
        <v/>
      </c>
      <c r="B384" s="22"/>
      <c r="C384" s="22"/>
      <c r="D384" s="22"/>
      <c r="E384" s="22"/>
      <c r="F384" s="22"/>
      <c r="G384" s="22"/>
      <c r="H384" s="22"/>
      <c r="I384" s="22"/>
      <c r="J384" s="22"/>
      <c r="K384" s="23"/>
      <c r="L384" s="34"/>
      <c r="N384" s="35">
        <f t="shared" si="10"/>
        <v>0</v>
      </c>
      <c r="O384" s="35">
        <f t="shared" si="11"/>
        <v>0</v>
      </c>
    </row>
    <row r="385" spans="1:15" s="9" customFormat="1" ht="18" x14ac:dyDescent="0.25">
      <c r="A385" s="69" t="str">
        <f>IF(LEN(B384)=0,"",CONCATENATE('Ficha de desembarque'!$J$18,"_",'Ficha de desembarque'!$J$20,"_",DAY('Ficha de desembarque'!$J$16),MONTH('Ficha de desembarque'!$J$16),YEAR('Ficha de desembarque'!$J$16)))</f>
        <v/>
      </c>
      <c r="B385" s="24"/>
      <c r="C385" s="24"/>
      <c r="D385" s="24"/>
      <c r="E385" s="24"/>
      <c r="F385" s="24"/>
      <c r="G385" s="24"/>
      <c r="H385" s="24"/>
      <c r="I385" s="24"/>
      <c r="J385" s="24"/>
      <c r="K385" s="25"/>
      <c r="L385" s="34"/>
      <c r="N385" s="35">
        <f t="shared" si="10"/>
        <v>0</v>
      </c>
      <c r="O385" s="35">
        <f t="shared" si="11"/>
        <v>0</v>
      </c>
    </row>
    <row r="386" spans="1:15" s="9" customFormat="1" ht="18" x14ac:dyDescent="0.25">
      <c r="A386" s="68" t="str">
        <f>IF(LEN(B385)=0,"",CONCATENATE('Ficha de desembarque'!$J$18,"_",'Ficha de desembarque'!$J$20,"_",DAY('Ficha de desembarque'!$J$16),MONTH('Ficha de desembarque'!$J$16),YEAR('Ficha de desembarque'!$J$16)))</f>
        <v/>
      </c>
      <c r="B386" s="22"/>
      <c r="C386" s="22"/>
      <c r="D386" s="22"/>
      <c r="E386" s="22"/>
      <c r="F386" s="22"/>
      <c r="G386" s="22"/>
      <c r="H386" s="22"/>
      <c r="I386" s="22"/>
      <c r="J386" s="22"/>
      <c r="K386" s="23"/>
      <c r="L386" s="34"/>
      <c r="N386" s="35">
        <f t="shared" si="10"/>
        <v>0</v>
      </c>
      <c r="O386" s="35">
        <f t="shared" si="11"/>
        <v>0</v>
      </c>
    </row>
    <row r="387" spans="1:15" s="9" customFormat="1" ht="18" x14ac:dyDescent="0.25">
      <c r="A387" s="69" t="str">
        <f>IF(LEN(B386)=0,"",CONCATENATE('Ficha de desembarque'!$J$18,"_",'Ficha de desembarque'!$J$20,"_",DAY('Ficha de desembarque'!$J$16),MONTH('Ficha de desembarque'!$J$16),YEAR('Ficha de desembarque'!$J$16)))</f>
        <v/>
      </c>
      <c r="B387" s="24"/>
      <c r="C387" s="24"/>
      <c r="D387" s="24"/>
      <c r="E387" s="24"/>
      <c r="F387" s="24"/>
      <c r="G387" s="24"/>
      <c r="H387" s="24"/>
      <c r="I387" s="24"/>
      <c r="J387" s="24"/>
      <c r="K387" s="25"/>
      <c r="L387" s="34"/>
      <c r="N387" s="35">
        <f t="shared" si="10"/>
        <v>0</v>
      </c>
      <c r="O387" s="35">
        <f t="shared" si="11"/>
        <v>0</v>
      </c>
    </row>
    <row r="388" spans="1:15" s="9" customFormat="1" ht="18" x14ac:dyDescent="0.25">
      <c r="A388" s="68" t="str">
        <f>IF(LEN(B387)=0,"",CONCATENATE('Ficha de desembarque'!$J$18,"_",'Ficha de desembarque'!$J$20,"_",DAY('Ficha de desembarque'!$J$16),MONTH('Ficha de desembarque'!$J$16),YEAR('Ficha de desembarque'!$J$16)))</f>
        <v/>
      </c>
      <c r="B388" s="22"/>
      <c r="C388" s="22"/>
      <c r="D388" s="22"/>
      <c r="E388" s="22"/>
      <c r="F388" s="22"/>
      <c r="G388" s="22"/>
      <c r="H388" s="22"/>
      <c r="I388" s="22"/>
      <c r="J388" s="22"/>
      <c r="K388" s="23"/>
      <c r="L388" s="34"/>
      <c r="N388" s="35">
        <f t="shared" si="10"/>
        <v>0</v>
      </c>
      <c r="O388" s="35">
        <f t="shared" si="11"/>
        <v>0</v>
      </c>
    </row>
    <row r="389" spans="1:15" s="9" customFormat="1" ht="18" x14ac:dyDescent="0.25">
      <c r="A389" s="69" t="str">
        <f>IF(LEN(B388)=0,"",CONCATENATE('Ficha de desembarque'!$J$18,"_",'Ficha de desembarque'!$J$20,"_",DAY('Ficha de desembarque'!$J$16),MONTH('Ficha de desembarque'!$J$16),YEAR('Ficha de desembarque'!$J$16)))</f>
        <v/>
      </c>
      <c r="B389" s="24"/>
      <c r="C389" s="24"/>
      <c r="D389" s="24"/>
      <c r="E389" s="24"/>
      <c r="F389" s="24"/>
      <c r="G389" s="24"/>
      <c r="H389" s="24"/>
      <c r="I389" s="24"/>
      <c r="J389" s="24"/>
      <c r="K389" s="25"/>
      <c r="L389" s="34"/>
      <c r="N389" s="35">
        <f t="shared" si="10"/>
        <v>0</v>
      </c>
      <c r="O389" s="35">
        <f t="shared" si="11"/>
        <v>0</v>
      </c>
    </row>
    <row r="390" spans="1:15" s="9" customFormat="1" ht="18" x14ac:dyDescent="0.25">
      <c r="A390" s="68" t="str">
        <f>IF(LEN(B389)=0,"",CONCATENATE('Ficha de desembarque'!$J$18,"_",'Ficha de desembarque'!$J$20,"_",DAY('Ficha de desembarque'!$J$16),MONTH('Ficha de desembarque'!$J$16),YEAR('Ficha de desembarque'!$J$16)))</f>
        <v/>
      </c>
      <c r="B390" s="22"/>
      <c r="C390" s="22"/>
      <c r="D390" s="22"/>
      <c r="E390" s="22"/>
      <c r="F390" s="22"/>
      <c r="G390" s="22"/>
      <c r="H390" s="22"/>
      <c r="I390" s="22"/>
      <c r="J390" s="22"/>
      <c r="K390" s="23"/>
      <c r="L390" s="34"/>
      <c r="N390" s="35">
        <f t="shared" si="10"/>
        <v>0</v>
      </c>
      <c r="O390" s="35">
        <f t="shared" si="11"/>
        <v>0</v>
      </c>
    </row>
    <row r="391" spans="1:15" s="9" customFormat="1" ht="18" x14ac:dyDescent="0.25">
      <c r="A391" s="69" t="str">
        <f>IF(LEN(B390)=0,"",CONCATENATE('Ficha de desembarque'!$J$18,"_",'Ficha de desembarque'!$J$20,"_",DAY('Ficha de desembarque'!$J$16),MONTH('Ficha de desembarque'!$J$16),YEAR('Ficha de desembarque'!$J$16)))</f>
        <v/>
      </c>
      <c r="B391" s="24"/>
      <c r="C391" s="24"/>
      <c r="D391" s="24"/>
      <c r="E391" s="24"/>
      <c r="F391" s="24"/>
      <c r="G391" s="24"/>
      <c r="H391" s="24"/>
      <c r="I391" s="24"/>
      <c r="J391" s="24"/>
      <c r="K391" s="25"/>
      <c r="L391" s="34"/>
      <c r="N391" s="35">
        <f t="shared" si="10"/>
        <v>0</v>
      </c>
      <c r="O391" s="35">
        <f t="shared" si="11"/>
        <v>0</v>
      </c>
    </row>
    <row r="392" spans="1:15" s="9" customFormat="1" ht="18" x14ac:dyDescent="0.25">
      <c r="A392" s="68" t="str">
        <f>IF(LEN(B391)=0,"",CONCATENATE('Ficha de desembarque'!$J$18,"_",'Ficha de desembarque'!$J$20,"_",DAY('Ficha de desembarque'!$J$16),MONTH('Ficha de desembarque'!$J$16),YEAR('Ficha de desembarque'!$J$16)))</f>
        <v/>
      </c>
      <c r="B392" s="22"/>
      <c r="C392" s="22"/>
      <c r="D392" s="22"/>
      <c r="E392" s="22"/>
      <c r="F392" s="22"/>
      <c r="G392" s="22"/>
      <c r="H392" s="22"/>
      <c r="I392" s="22"/>
      <c r="J392" s="22"/>
      <c r="K392" s="23"/>
      <c r="L392" s="34"/>
      <c r="N392" s="35">
        <f t="shared" si="10"/>
        <v>0</v>
      </c>
      <c r="O392" s="35">
        <f t="shared" si="11"/>
        <v>0</v>
      </c>
    </row>
    <row r="393" spans="1:15" s="9" customFormat="1" ht="18" x14ac:dyDescent="0.25">
      <c r="A393" s="69" t="str">
        <f>IF(LEN(B392)=0,"",CONCATENATE('Ficha de desembarque'!$J$18,"_",'Ficha de desembarque'!$J$20,"_",DAY('Ficha de desembarque'!$J$16),MONTH('Ficha de desembarque'!$J$16),YEAR('Ficha de desembarque'!$J$16)))</f>
        <v/>
      </c>
      <c r="B393" s="24"/>
      <c r="C393" s="24"/>
      <c r="D393" s="24"/>
      <c r="E393" s="24"/>
      <c r="F393" s="24"/>
      <c r="G393" s="24"/>
      <c r="H393" s="24"/>
      <c r="I393" s="24"/>
      <c r="J393" s="24"/>
      <c r="K393" s="25"/>
      <c r="L393" s="34"/>
      <c r="N393" s="35">
        <f t="shared" si="10"/>
        <v>0</v>
      </c>
      <c r="O393" s="35">
        <f t="shared" si="11"/>
        <v>0</v>
      </c>
    </row>
    <row r="394" spans="1:15" s="9" customFormat="1" ht="18" x14ac:dyDescent="0.25">
      <c r="A394" s="68" t="str">
        <f>IF(LEN(B393)=0,"",CONCATENATE('Ficha de desembarque'!$J$18,"_",'Ficha de desembarque'!$J$20,"_",DAY('Ficha de desembarque'!$J$16),MONTH('Ficha de desembarque'!$J$16),YEAR('Ficha de desembarque'!$J$16)))</f>
        <v/>
      </c>
      <c r="B394" s="22"/>
      <c r="C394" s="22"/>
      <c r="D394" s="22"/>
      <c r="E394" s="22"/>
      <c r="F394" s="22"/>
      <c r="G394" s="22"/>
      <c r="H394" s="22"/>
      <c r="I394" s="22"/>
      <c r="J394" s="22"/>
      <c r="K394" s="23"/>
      <c r="L394" s="34"/>
      <c r="N394" s="35">
        <f t="shared" si="10"/>
        <v>0</v>
      </c>
      <c r="O394" s="35">
        <f t="shared" si="11"/>
        <v>0</v>
      </c>
    </row>
    <row r="395" spans="1:15" s="9" customFormat="1" ht="18" x14ac:dyDescent="0.25">
      <c r="A395" s="69" t="str">
        <f>IF(LEN(B394)=0,"",CONCATENATE('Ficha de desembarque'!$J$18,"_",'Ficha de desembarque'!$J$20,"_",DAY('Ficha de desembarque'!$J$16),MONTH('Ficha de desembarque'!$J$16),YEAR('Ficha de desembarque'!$J$16)))</f>
        <v/>
      </c>
      <c r="B395" s="24"/>
      <c r="C395" s="24"/>
      <c r="D395" s="24"/>
      <c r="E395" s="24"/>
      <c r="F395" s="24"/>
      <c r="G395" s="24"/>
      <c r="H395" s="24"/>
      <c r="I395" s="24"/>
      <c r="J395" s="24"/>
      <c r="K395" s="25"/>
      <c r="L395" s="34"/>
      <c r="N395" s="35">
        <f t="shared" si="10"/>
        <v>0</v>
      </c>
      <c r="O395" s="35">
        <f t="shared" si="11"/>
        <v>0</v>
      </c>
    </row>
    <row r="396" spans="1:15" s="9" customFormat="1" ht="18" x14ac:dyDescent="0.25">
      <c r="A396" s="68" t="str">
        <f>IF(LEN(B395)=0,"",CONCATENATE('Ficha de desembarque'!$J$18,"_",'Ficha de desembarque'!$J$20,"_",DAY('Ficha de desembarque'!$J$16),MONTH('Ficha de desembarque'!$J$16),YEAR('Ficha de desembarque'!$J$16)))</f>
        <v/>
      </c>
      <c r="B396" s="22"/>
      <c r="C396" s="22"/>
      <c r="D396" s="22"/>
      <c r="E396" s="22"/>
      <c r="F396" s="22"/>
      <c r="G396" s="22"/>
      <c r="H396" s="22"/>
      <c r="I396" s="22"/>
      <c r="J396" s="22"/>
      <c r="K396" s="23"/>
      <c r="L396" s="34"/>
      <c r="N396" s="35">
        <f t="shared" ref="N396:N459" si="12">MAX(0,D396)</f>
        <v>0</v>
      </c>
      <c r="O396" s="35">
        <f t="shared" ref="O396:O459" si="13">MAX(0,F396)</f>
        <v>0</v>
      </c>
    </row>
    <row r="397" spans="1:15" s="9" customFormat="1" ht="18" x14ac:dyDescent="0.25">
      <c r="A397" s="69" t="str">
        <f>IF(LEN(B396)=0,"",CONCATENATE('Ficha de desembarque'!$J$18,"_",'Ficha de desembarque'!$J$20,"_",DAY('Ficha de desembarque'!$J$16),MONTH('Ficha de desembarque'!$J$16),YEAR('Ficha de desembarque'!$J$16)))</f>
        <v/>
      </c>
      <c r="B397" s="24"/>
      <c r="C397" s="24"/>
      <c r="D397" s="24"/>
      <c r="E397" s="24"/>
      <c r="F397" s="24"/>
      <c r="G397" s="24"/>
      <c r="H397" s="24"/>
      <c r="I397" s="24"/>
      <c r="J397" s="24"/>
      <c r="K397" s="25"/>
      <c r="L397" s="34"/>
      <c r="N397" s="35">
        <f t="shared" si="12"/>
        <v>0</v>
      </c>
      <c r="O397" s="35">
        <f t="shared" si="13"/>
        <v>0</v>
      </c>
    </row>
    <row r="398" spans="1:15" s="9" customFormat="1" ht="18" x14ac:dyDescent="0.25">
      <c r="A398" s="68" t="str">
        <f>IF(LEN(B397)=0,"",CONCATENATE('Ficha de desembarque'!$J$18,"_",'Ficha de desembarque'!$J$20,"_",DAY('Ficha de desembarque'!$J$16),MONTH('Ficha de desembarque'!$J$16),YEAR('Ficha de desembarque'!$J$16)))</f>
        <v/>
      </c>
      <c r="B398" s="22"/>
      <c r="C398" s="22"/>
      <c r="D398" s="22"/>
      <c r="E398" s="22"/>
      <c r="F398" s="22"/>
      <c r="G398" s="22"/>
      <c r="H398" s="22"/>
      <c r="I398" s="22"/>
      <c r="J398" s="22"/>
      <c r="K398" s="23"/>
      <c r="L398" s="34"/>
      <c r="N398" s="35">
        <f t="shared" si="12"/>
        <v>0</v>
      </c>
      <c r="O398" s="35">
        <f t="shared" si="13"/>
        <v>0</v>
      </c>
    </row>
    <row r="399" spans="1:15" s="9" customFormat="1" ht="18" x14ac:dyDescent="0.25">
      <c r="A399" s="69" t="str">
        <f>IF(LEN(B398)=0,"",CONCATENATE('Ficha de desembarque'!$J$18,"_",'Ficha de desembarque'!$J$20,"_",DAY('Ficha de desembarque'!$J$16),MONTH('Ficha de desembarque'!$J$16),YEAR('Ficha de desembarque'!$J$16)))</f>
        <v/>
      </c>
      <c r="B399" s="24"/>
      <c r="C399" s="24"/>
      <c r="D399" s="24"/>
      <c r="E399" s="24"/>
      <c r="F399" s="24"/>
      <c r="G399" s="24"/>
      <c r="H399" s="24"/>
      <c r="I399" s="24"/>
      <c r="J399" s="24"/>
      <c r="K399" s="25"/>
      <c r="L399" s="34"/>
      <c r="N399" s="35">
        <f t="shared" si="12"/>
        <v>0</v>
      </c>
      <c r="O399" s="35">
        <f t="shared" si="13"/>
        <v>0</v>
      </c>
    </row>
    <row r="400" spans="1:15" s="9" customFormat="1" ht="18" x14ac:dyDescent="0.25">
      <c r="A400" s="68" t="str">
        <f>IF(LEN(B399)=0,"",CONCATENATE('Ficha de desembarque'!$J$18,"_",'Ficha de desembarque'!$J$20,"_",DAY('Ficha de desembarque'!$J$16),MONTH('Ficha de desembarque'!$J$16),YEAR('Ficha de desembarque'!$J$16)))</f>
        <v/>
      </c>
      <c r="B400" s="22"/>
      <c r="C400" s="22"/>
      <c r="D400" s="22"/>
      <c r="E400" s="22"/>
      <c r="F400" s="22"/>
      <c r="G400" s="22"/>
      <c r="H400" s="22"/>
      <c r="I400" s="22"/>
      <c r="J400" s="22"/>
      <c r="K400" s="23"/>
      <c r="L400" s="34"/>
      <c r="N400" s="35">
        <f t="shared" si="12"/>
        <v>0</v>
      </c>
      <c r="O400" s="35">
        <f t="shared" si="13"/>
        <v>0</v>
      </c>
    </row>
    <row r="401" spans="1:15" s="9" customFormat="1" ht="18" x14ac:dyDescent="0.25">
      <c r="A401" s="69" t="str">
        <f>IF(LEN(B400)=0,"",CONCATENATE('Ficha de desembarque'!$J$18,"_",'Ficha de desembarque'!$J$20,"_",DAY('Ficha de desembarque'!$J$16),MONTH('Ficha de desembarque'!$J$16),YEAR('Ficha de desembarque'!$J$16)))</f>
        <v/>
      </c>
      <c r="B401" s="24"/>
      <c r="C401" s="24"/>
      <c r="D401" s="24"/>
      <c r="E401" s="24"/>
      <c r="F401" s="24"/>
      <c r="G401" s="24"/>
      <c r="H401" s="24"/>
      <c r="I401" s="24"/>
      <c r="J401" s="24"/>
      <c r="K401" s="25"/>
      <c r="L401" s="34"/>
      <c r="N401" s="35">
        <f t="shared" si="12"/>
        <v>0</v>
      </c>
      <c r="O401" s="35">
        <f t="shared" si="13"/>
        <v>0</v>
      </c>
    </row>
    <row r="402" spans="1:15" s="9" customFormat="1" ht="18" x14ac:dyDescent="0.25">
      <c r="A402" s="68" t="str">
        <f>IF(LEN(B401)=0,"",CONCATENATE('Ficha de desembarque'!$J$18,"_",'Ficha de desembarque'!$J$20,"_",DAY('Ficha de desembarque'!$J$16),MONTH('Ficha de desembarque'!$J$16),YEAR('Ficha de desembarque'!$J$16)))</f>
        <v/>
      </c>
      <c r="B402" s="22"/>
      <c r="C402" s="22"/>
      <c r="D402" s="22"/>
      <c r="E402" s="22"/>
      <c r="F402" s="22"/>
      <c r="G402" s="22"/>
      <c r="H402" s="22"/>
      <c r="I402" s="22"/>
      <c r="J402" s="22"/>
      <c r="K402" s="23"/>
      <c r="L402" s="34"/>
      <c r="N402" s="35">
        <f t="shared" si="12"/>
        <v>0</v>
      </c>
      <c r="O402" s="35">
        <f t="shared" si="13"/>
        <v>0</v>
      </c>
    </row>
    <row r="403" spans="1:15" s="9" customFormat="1" ht="18" x14ac:dyDescent="0.25">
      <c r="A403" s="69" t="str">
        <f>IF(LEN(B402)=0,"",CONCATENATE('Ficha de desembarque'!$J$18,"_",'Ficha de desembarque'!$J$20,"_",DAY('Ficha de desembarque'!$J$16),MONTH('Ficha de desembarque'!$J$16),YEAR('Ficha de desembarque'!$J$16)))</f>
        <v/>
      </c>
      <c r="B403" s="24"/>
      <c r="C403" s="24"/>
      <c r="D403" s="24"/>
      <c r="E403" s="24"/>
      <c r="F403" s="24"/>
      <c r="G403" s="24"/>
      <c r="H403" s="24"/>
      <c r="I403" s="24"/>
      <c r="J403" s="24"/>
      <c r="K403" s="25"/>
      <c r="L403" s="34"/>
      <c r="N403" s="35">
        <f t="shared" si="12"/>
        <v>0</v>
      </c>
      <c r="O403" s="35">
        <f t="shared" si="13"/>
        <v>0</v>
      </c>
    </row>
    <row r="404" spans="1:15" s="9" customFormat="1" ht="18" x14ac:dyDescent="0.25">
      <c r="A404" s="68" t="str">
        <f>IF(LEN(B403)=0,"",CONCATENATE('Ficha de desembarque'!$J$18,"_",'Ficha de desembarque'!$J$20,"_",DAY('Ficha de desembarque'!$J$16),MONTH('Ficha de desembarque'!$J$16),YEAR('Ficha de desembarque'!$J$16)))</f>
        <v/>
      </c>
      <c r="B404" s="22"/>
      <c r="C404" s="22"/>
      <c r="D404" s="22"/>
      <c r="E404" s="22"/>
      <c r="F404" s="22"/>
      <c r="G404" s="22"/>
      <c r="H404" s="22"/>
      <c r="I404" s="22"/>
      <c r="J404" s="22"/>
      <c r="K404" s="23"/>
      <c r="L404" s="34"/>
      <c r="N404" s="35">
        <f t="shared" si="12"/>
        <v>0</v>
      </c>
      <c r="O404" s="35">
        <f t="shared" si="13"/>
        <v>0</v>
      </c>
    </row>
    <row r="405" spans="1:15" s="9" customFormat="1" ht="18" x14ac:dyDescent="0.25">
      <c r="A405" s="69" t="str">
        <f>IF(LEN(B404)=0,"",CONCATENATE('Ficha de desembarque'!$J$18,"_",'Ficha de desembarque'!$J$20,"_",DAY('Ficha de desembarque'!$J$16),MONTH('Ficha de desembarque'!$J$16),YEAR('Ficha de desembarque'!$J$16)))</f>
        <v/>
      </c>
      <c r="B405" s="24"/>
      <c r="C405" s="24"/>
      <c r="D405" s="24"/>
      <c r="E405" s="24"/>
      <c r="F405" s="24"/>
      <c r="G405" s="24"/>
      <c r="H405" s="24"/>
      <c r="I405" s="24"/>
      <c r="J405" s="24"/>
      <c r="K405" s="25"/>
      <c r="L405" s="34"/>
      <c r="N405" s="35">
        <f t="shared" si="12"/>
        <v>0</v>
      </c>
      <c r="O405" s="35">
        <f t="shared" si="13"/>
        <v>0</v>
      </c>
    </row>
    <row r="406" spans="1:15" s="9" customFormat="1" ht="18" x14ac:dyDescent="0.25">
      <c r="A406" s="68" t="str">
        <f>IF(LEN(B405)=0,"",CONCATENATE('Ficha de desembarque'!$J$18,"_",'Ficha de desembarque'!$J$20,"_",DAY('Ficha de desembarque'!$J$16),MONTH('Ficha de desembarque'!$J$16),YEAR('Ficha de desembarque'!$J$16)))</f>
        <v/>
      </c>
      <c r="B406" s="22"/>
      <c r="C406" s="22"/>
      <c r="D406" s="22"/>
      <c r="E406" s="22"/>
      <c r="F406" s="22"/>
      <c r="G406" s="22"/>
      <c r="H406" s="22"/>
      <c r="I406" s="22"/>
      <c r="J406" s="22"/>
      <c r="K406" s="23"/>
      <c r="L406" s="34"/>
      <c r="N406" s="35">
        <f t="shared" si="12"/>
        <v>0</v>
      </c>
      <c r="O406" s="35">
        <f t="shared" si="13"/>
        <v>0</v>
      </c>
    </row>
    <row r="407" spans="1:15" s="9" customFormat="1" ht="18" x14ac:dyDescent="0.25">
      <c r="A407" s="69" t="str">
        <f>IF(LEN(B406)=0,"",CONCATENATE('Ficha de desembarque'!$J$18,"_",'Ficha de desembarque'!$J$20,"_",DAY('Ficha de desembarque'!$J$16),MONTH('Ficha de desembarque'!$J$16),YEAR('Ficha de desembarque'!$J$16)))</f>
        <v/>
      </c>
      <c r="B407" s="24"/>
      <c r="C407" s="24"/>
      <c r="D407" s="24"/>
      <c r="E407" s="24"/>
      <c r="F407" s="24"/>
      <c r="G407" s="24"/>
      <c r="H407" s="24"/>
      <c r="I407" s="24"/>
      <c r="J407" s="24"/>
      <c r="K407" s="25"/>
      <c r="L407" s="34"/>
      <c r="N407" s="35">
        <f t="shared" si="12"/>
        <v>0</v>
      </c>
      <c r="O407" s="35">
        <f t="shared" si="13"/>
        <v>0</v>
      </c>
    </row>
    <row r="408" spans="1:15" s="9" customFormat="1" ht="18" x14ac:dyDescent="0.25">
      <c r="A408" s="68" t="str">
        <f>IF(LEN(B407)=0,"",CONCATENATE('Ficha de desembarque'!$J$18,"_",'Ficha de desembarque'!$J$20,"_",DAY('Ficha de desembarque'!$J$16),MONTH('Ficha de desembarque'!$J$16),YEAR('Ficha de desembarque'!$J$16)))</f>
        <v/>
      </c>
      <c r="B408" s="22"/>
      <c r="C408" s="22"/>
      <c r="D408" s="22"/>
      <c r="E408" s="22"/>
      <c r="F408" s="22"/>
      <c r="G408" s="22"/>
      <c r="H408" s="22"/>
      <c r="I408" s="22"/>
      <c r="J408" s="22"/>
      <c r="K408" s="23"/>
      <c r="L408" s="34"/>
      <c r="N408" s="35">
        <f t="shared" si="12"/>
        <v>0</v>
      </c>
      <c r="O408" s="35">
        <f t="shared" si="13"/>
        <v>0</v>
      </c>
    </row>
    <row r="409" spans="1:15" s="9" customFormat="1" ht="18" x14ac:dyDescent="0.25">
      <c r="A409" s="69" t="str">
        <f>IF(LEN(B408)=0,"",CONCATENATE('Ficha de desembarque'!$J$18,"_",'Ficha de desembarque'!$J$20,"_",DAY('Ficha de desembarque'!$J$16),MONTH('Ficha de desembarque'!$J$16),YEAR('Ficha de desembarque'!$J$16)))</f>
        <v/>
      </c>
      <c r="B409" s="24"/>
      <c r="C409" s="24"/>
      <c r="D409" s="24"/>
      <c r="E409" s="24"/>
      <c r="F409" s="24"/>
      <c r="G409" s="24"/>
      <c r="H409" s="24"/>
      <c r="I409" s="24"/>
      <c r="J409" s="24"/>
      <c r="K409" s="25"/>
      <c r="L409" s="34"/>
      <c r="N409" s="35">
        <f t="shared" si="12"/>
        <v>0</v>
      </c>
      <c r="O409" s="35">
        <f t="shared" si="13"/>
        <v>0</v>
      </c>
    </row>
    <row r="410" spans="1:15" s="9" customFormat="1" ht="18" x14ac:dyDescent="0.25">
      <c r="A410" s="68" t="str">
        <f>IF(LEN(B409)=0,"",CONCATENATE('Ficha de desembarque'!$J$18,"_",'Ficha de desembarque'!$J$20,"_",DAY('Ficha de desembarque'!$J$16),MONTH('Ficha de desembarque'!$J$16),YEAR('Ficha de desembarque'!$J$16)))</f>
        <v/>
      </c>
      <c r="B410" s="22"/>
      <c r="C410" s="22"/>
      <c r="D410" s="22"/>
      <c r="E410" s="22"/>
      <c r="F410" s="22"/>
      <c r="G410" s="22"/>
      <c r="H410" s="22"/>
      <c r="I410" s="22"/>
      <c r="J410" s="22"/>
      <c r="K410" s="23"/>
      <c r="L410" s="34"/>
      <c r="N410" s="35">
        <f t="shared" si="12"/>
        <v>0</v>
      </c>
      <c r="O410" s="35">
        <f t="shared" si="13"/>
        <v>0</v>
      </c>
    </row>
    <row r="411" spans="1:15" s="9" customFormat="1" ht="18" x14ac:dyDescent="0.25">
      <c r="A411" s="69" t="str">
        <f>IF(LEN(B410)=0,"",CONCATENATE('Ficha de desembarque'!$J$18,"_",'Ficha de desembarque'!$J$20,"_",DAY('Ficha de desembarque'!$J$16),MONTH('Ficha de desembarque'!$J$16),YEAR('Ficha de desembarque'!$J$16)))</f>
        <v/>
      </c>
      <c r="B411" s="24"/>
      <c r="C411" s="24"/>
      <c r="D411" s="24"/>
      <c r="E411" s="24"/>
      <c r="F411" s="24"/>
      <c r="G411" s="24"/>
      <c r="H411" s="24"/>
      <c r="I411" s="24"/>
      <c r="J411" s="24"/>
      <c r="K411" s="25"/>
      <c r="L411" s="34"/>
      <c r="N411" s="35">
        <f t="shared" si="12"/>
        <v>0</v>
      </c>
      <c r="O411" s="35">
        <f t="shared" si="13"/>
        <v>0</v>
      </c>
    </row>
    <row r="412" spans="1:15" s="9" customFormat="1" ht="18" x14ac:dyDescent="0.25">
      <c r="A412" s="68" t="str">
        <f>IF(LEN(B411)=0,"",CONCATENATE('Ficha de desembarque'!$J$18,"_",'Ficha de desembarque'!$J$20,"_",DAY('Ficha de desembarque'!$J$16),MONTH('Ficha de desembarque'!$J$16),YEAR('Ficha de desembarque'!$J$16)))</f>
        <v/>
      </c>
      <c r="B412" s="22"/>
      <c r="C412" s="22"/>
      <c r="D412" s="22"/>
      <c r="E412" s="22"/>
      <c r="F412" s="22"/>
      <c r="G412" s="22"/>
      <c r="H412" s="22"/>
      <c r="I412" s="22"/>
      <c r="J412" s="22"/>
      <c r="K412" s="23"/>
      <c r="L412" s="34"/>
      <c r="N412" s="35">
        <f t="shared" si="12"/>
        <v>0</v>
      </c>
      <c r="O412" s="35">
        <f t="shared" si="13"/>
        <v>0</v>
      </c>
    </row>
    <row r="413" spans="1:15" s="9" customFormat="1" ht="18" x14ac:dyDescent="0.25">
      <c r="A413" s="69" t="str">
        <f>IF(LEN(B412)=0,"",CONCATENATE('Ficha de desembarque'!$J$18,"_",'Ficha de desembarque'!$J$20,"_",DAY('Ficha de desembarque'!$J$16),MONTH('Ficha de desembarque'!$J$16),YEAR('Ficha de desembarque'!$J$16)))</f>
        <v/>
      </c>
      <c r="B413" s="24"/>
      <c r="C413" s="24"/>
      <c r="D413" s="24"/>
      <c r="E413" s="24"/>
      <c r="F413" s="24"/>
      <c r="G413" s="24"/>
      <c r="H413" s="24"/>
      <c r="I413" s="24"/>
      <c r="J413" s="24"/>
      <c r="K413" s="25"/>
      <c r="L413" s="34"/>
      <c r="N413" s="35">
        <f t="shared" si="12"/>
        <v>0</v>
      </c>
      <c r="O413" s="35">
        <f t="shared" si="13"/>
        <v>0</v>
      </c>
    </row>
    <row r="414" spans="1:15" s="9" customFormat="1" ht="18" x14ac:dyDescent="0.25">
      <c r="A414" s="68" t="str">
        <f>IF(LEN(B413)=0,"",CONCATENATE('Ficha de desembarque'!$J$18,"_",'Ficha de desembarque'!$J$20,"_",DAY('Ficha de desembarque'!$J$16),MONTH('Ficha de desembarque'!$J$16),YEAR('Ficha de desembarque'!$J$16)))</f>
        <v/>
      </c>
      <c r="B414" s="22"/>
      <c r="C414" s="22"/>
      <c r="D414" s="22"/>
      <c r="E414" s="22"/>
      <c r="F414" s="22"/>
      <c r="G414" s="22"/>
      <c r="H414" s="22"/>
      <c r="I414" s="22"/>
      <c r="J414" s="22"/>
      <c r="K414" s="23"/>
      <c r="L414" s="34"/>
      <c r="N414" s="35">
        <f t="shared" si="12"/>
        <v>0</v>
      </c>
      <c r="O414" s="35">
        <f t="shared" si="13"/>
        <v>0</v>
      </c>
    </row>
    <row r="415" spans="1:15" s="9" customFormat="1" ht="18" x14ac:dyDescent="0.25">
      <c r="A415" s="69" t="str">
        <f>IF(LEN(B414)=0,"",CONCATENATE('Ficha de desembarque'!$J$18,"_",'Ficha de desembarque'!$J$20,"_",DAY('Ficha de desembarque'!$J$16),MONTH('Ficha de desembarque'!$J$16),YEAR('Ficha de desembarque'!$J$16)))</f>
        <v/>
      </c>
      <c r="B415" s="24"/>
      <c r="C415" s="24"/>
      <c r="D415" s="24"/>
      <c r="E415" s="24"/>
      <c r="F415" s="24"/>
      <c r="G415" s="24"/>
      <c r="H415" s="24"/>
      <c r="I415" s="24"/>
      <c r="J415" s="24"/>
      <c r="K415" s="25"/>
      <c r="L415" s="34"/>
      <c r="N415" s="35">
        <f t="shared" si="12"/>
        <v>0</v>
      </c>
      <c r="O415" s="35">
        <f t="shared" si="13"/>
        <v>0</v>
      </c>
    </row>
    <row r="416" spans="1:15" s="9" customFormat="1" ht="18" x14ac:dyDescent="0.25">
      <c r="A416" s="68" t="str">
        <f>IF(LEN(B415)=0,"",CONCATENATE('Ficha de desembarque'!$J$18,"_",'Ficha de desembarque'!$J$20,"_",DAY('Ficha de desembarque'!$J$16),MONTH('Ficha de desembarque'!$J$16),YEAR('Ficha de desembarque'!$J$16)))</f>
        <v/>
      </c>
      <c r="B416" s="22"/>
      <c r="C416" s="22"/>
      <c r="D416" s="22"/>
      <c r="E416" s="22"/>
      <c r="F416" s="22"/>
      <c r="G416" s="22"/>
      <c r="H416" s="22"/>
      <c r="I416" s="22"/>
      <c r="J416" s="22"/>
      <c r="K416" s="23"/>
      <c r="L416" s="34"/>
      <c r="N416" s="35">
        <f t="shared" si="12"/>
        <v>0</v>
      </c>
      <c r="O416" s="35">
        <f t="shared" si="13"/>
        <v>0</v>
      </c>
    </row>
    <row r="417" spans="1:15" s="9" customFormat="1" ht="18" x14ac:dyDescent="0.25">
      <c r="A417" s="69" t="str">
        <f>IF(LEN(B416)=0,"",CONCATENATE('Ficha de desembarque'!$J$18,"_",'Ficha de desembarque'!$J$20,"_",DAY('Ficha de desembarque'!$J$16),MONTH('Ficha de desembarque'!$J$16),YEAR('Ficha de desembarque'!$J$16)))</f>
        <v/>
      </c>
      <c r="B417" s="24"/>
      <c r="C417" s="24"/>
      <c r="D417" s="24"/>
      <c r="E417" s="24"/>
      <c r="F417" s="24"/>
      <c r="G417" s="24"/>
      <c r="H417" s="24"/>
      <c r="I417" s="24"/>
      <c r="J417" s="24"/>
      <c r="K417" s="25"/>
      <c r="L417" s="34"/>
      <c r="N417" s="35">
        <f t="shared" si="12"/>
        <v>0</v>
      </c>
      <c r="O417" s="35">
        <f t="shared" si="13"/>
        <v>0</v>
      </c>
    </row>
    <row r="418" spans="1:15" s="9" customFormat="1" ht="18" x14ac:dyDescent="0.25">
      <c r="A418" s="68" t="str">
        <f>IF(LEN(B417)=0,"",CONCATENATE('Ficha de desembarque'!$J$18,"_",'Ficha de desembarque'!$J$20,"_",DAY('Ficha de desembarque'!$J$16),MONTH('Ficha de desembarque'!$J$16),YEAR('Ficha de desembarque'!$J$16)))</f>
        <v/>
      </c>
      <c r="B418" s="22"/>
      <c r="C418" s="22"/>
      <c r="D418" s="22"/>
      <c r="E418" s="22"/>
      <c r="F418" s="22"/>
      <c r="G418" s="22"/>
      <c r="H418" s="22"/>
      <c r="I418" s="22"/>
      <c r="J418" s="22"/>
      <c r="K418" s="23"/>
      <c r="L418" s="34"/>
      <c r="N418" s="35">
        <f t="shared" si="12"/>
        <v>0</v>
      </c>
      <c r="O418" s="35">
        <f t="shared" si="13"/>
        <v>0</v>
      </c>
    </row>
    <row r="419" spans="1:15" s="9" customFormat="1" ht="18" x14ac:dyDescent="0.25">
      <c r="A419" s="69" t="str">
        <f>IF(LEN(B418)=0,"",CONCATENATE('Ficha de desembarque'!$J$18,"_",'Ficha de desembarque'!$J$20,"_",DAY('Ficha de desembarque'!$J$16),MONTH('Ficha de desembarque'!$J$16),YEAR('Ficha de desembarque'!$J$16)))</f>
        <v/>
      </c>
      <c r="B419" s="24"/>
      <c r="C419" s="24"/>
      <c r="D419" s="24"/>
      <c r="E419" s="24"/>
      <c r="F419" s="24"/>
      <c r="G419" s="24"/>
      <c r="H419" s="24"/>
      <c r="I419" s="24"/>
      <c r="J419" s="24"/>
      <c r="K419" s="25"/>
      <c r="L419" s="34"/>
      <c r="N419" s="35">
        <f t="shared" si="12"/>
        <v>0</v>
      </c>
      <c r="O419" s="35">
        <f t="shared" si="13"/>
        <v>0</v>
      </c>
    </row>
    <row r="420" spans="1:15" s="9" customFormat="1" ht="18" x14ac:dyDescent="0.25">
      <c r="A420" s="68" t="str">
        <f>IF(LEN(B419)=0,"",CONCATENATE('Ficha de desembarque'!$J$18,"_",'Ficha de desembarque'!$J$20,"_",DAY('Ficha de desembarque'!$J$16),MONTH('Ficha de desembarque'!$J$16),YEAR('Ficha de desembarque'!$J$16)))</f>
        <v/>
      </c>
      <c r="B420" s="22"/>
      <c r="C420" s="22"/>
      <c r="D420" s="22"/>
      <c r="E420" s="22"/>
      <c r="F420" s="22"/>
      <c r="G420" s="22"/>
      <c r="H420" s="22"/>
      <c r="I420" s="22"/>
      <c r="J420" s="22"/>
      <c r="K420" s="23"/>
      <c r="L420" s="34"/>
      <c r="N420" s="35">
        <f t="shared" si="12"/>
        <v>0</v>
      </c>
      <c r="O420" s="35">
        <f t="shared" si="13"/>
        <v>0</v>
      </c>
    </row>
    <row r="421" spans="1:15" s="9" customFormat="1" ht="18" x14ac:dyDescent="0.25">
      <c r="A421" s="69" t="str">
        <f>IF(LEN(B420)=0,"",CONCATENATE('Ficha de desembarque'!$J$18,"_",'Ficha de desembarque'!$J$20,"_",DAY('Ficha de desembarque'!$J$16),MONTH('Ficha de desembarque'!$J$16),YEAR('Ficha de desembarque'!$J$16)))</f>
        <v/>
      </c>
      <c r="B421" s="24"/>
      <c r="C421" s="24"/>
      <c r="D421" s="24"/>
      <c r="E421" s="24"/>
      <c r="F421" s="24"/>
      <c r="G421" s="24"/>
      <c r="H421" s="24"/>
      <c r="I421" s="24"/>
      <c r="J421" s="24"/>
      <c r="K421" s="25"/>
      <c r="L421" s="34"/>
      <c r="N421" s="35">
        <f t="shared" si="12"/>
        <v>0</v>
      </c>
      <c r="O421" s="35">
        <f t="shared" si="13"/>
        <v>0</v>
      </c>
    </row>
    <row r="422" spans="1:15" s="9" customFormat="1" ht="18" x14ac:dyDescent="0.25">
      <c r="A422" s="68" t="str">
        <f>IF(LEN(B421)=0,"",CONCATENATE('Ficha de desembarque'!$J$18,"_",'Ficha de desembarque'!$J$20,"_",DAY('Ficha de desembarque'!$J$16),MONTH('Ficha de desembarque'!$J$16),YEAR('Ficha de desembarque'!$J$16)))</f>
        <v/>
      </c>
      <c r="B422" s="22"/>
      <c r="C422" s="22"/>
      <c r="D422" s="22"/>
      <c r="E422" s="22"/>
      <c r="F422" s="22"/>
      <c r="G422" s="22"/>
      <c r="H422" s="22"/>
      <c r="I422" s="22"/>
      <c r="J422" s="22"/>
      <c r="K422" s="23"/>
      <c r="L422" s="34"/>
      <c r="N422" s="35">
        <f t="shared" si="12"/>
        <v>0</v>
      </c>
      <c r="O422" s="35">
        <f t="shared" si="13"/>
        <v>0</v>
      </c>
    </row>
    <row r="423" spans="1:15" s="9" customFormat="1" ht="18" x14ac:dyDescent="0.25">
      <c r="A423" s="69" t="str">
        <f>IF(LEN(B422)=0,"",CONCATENATE('Ficha de desembarque'!$J$18,"_",'Ficha de desembarque'!$J$20,"_",DAY('Ficha de desembarque'!$J$16),MONTH('Ficha de desembarque'!$J$16),YEAR('Ficha de desembarque'!$J$16)))</f>
        <v/>
      </c>
      <c r="B423" s="24"/>
      <c r="C423" s="24"/>
      <c r="D423" s="24"/>
      <c r="E423" s="24"/>
      <c r="F423" s="24"/>
      <c r="G423" s="24"/>
      <c r="H423" s="24"/>
      <c r="I423" s="24"/>
      <c r="J423" s="24"/>
      <c r="K423" s="25"/>
      <c r="L423" s="34"/>
      <c r="N423" s="35">
        <f t="shared" si="12"/>
        <v>0</v>
      </c>
      <c r="O423" s="35">
        <f t="shared" si="13"/>
        <v>0</v>
      </c>
    </row>
    <row r="424" spans="1:15" s="9" customFormat="1" ht="18" x14ac:dyDescent="0.25">
      <c r="A424" s="68" t="str">
        <f>IF(LEN(B423)=0,"",CONCATENATE('Ficha de desembarque'!$J$18,"_",'Ficha de desembarque'!$J$20,"_",DAY('Ficha de desembarque'!$J$16),MONTH('Ficha de desembarque'!$J$16),YEAR('Ficha de desembarque'!$J$16)))</f>
        <v/>
      </c>
      <c r="B424" s="22"/>
      <c r="C424" s="22"/>
      <c r="D424" s="22"/>
      <c r="E424" s="22"/>
      <c r="F424" s="22"/>
      <c r="G424" s="22"/>
      <c r="H424" s="22"/>
      <c r="I424" s="22"/>
      <c r="J424" s="22"/>
      <c r="K424" s="23"/>
      <c r="L424" s="34"/>
      <c r="N424" s="35">
        <f t="shared" si="12"/>
        <v>0</v>
      </c>
      <c r="O424" s="35">
        <f t="shared" si="13"/>
        <v>0</v>
      </c>
    </row>
    <row r="425" spans="1:15" s="9" customFormat="1" ht="18" x14ac:dyDescent="0.25">
      <c r="A425" s="69" t="str">
        <f>IF(LEN(B424)=0,"",CONCATENATE('Ficha de desembarque'!$J$18,"_",'Ficha de desembarque'!$J$20,"_",DAY('Ficha de desembarque'!$J$16),MONTH('Ficha de desembarque'!$J$16),YEAR('Ficha de desembarque'!$J$16)))</f>
        <v/>
      </c>
      <c r="B425" s="24"/>
      <c r="C425" s="24"/>
      <c r="D425" s="24"/>
      <c r="E425" s="24"/>
      <c r="F425" s="24"/>
      <c r="G425" s="24"/>
      <c r="H425" s="24"/>
      <c r="I425" s="24"/>
      <c r="J425" s="24"/>
      <c r="K425" s="25"/>
      <c r="L425" s="34"/>
      <c r="N425" s="35">
        <f t="shared" si="12"/>
        <v>0</v>
      </c>
      <c r="O425" s="35">
        <f t="shared" si="13"/>
        <v>0</v>
      </c>
    </row>
    <row r="426" spans="1:15" s="9" customFormat="1" ht="18" x14ac:dyDescent="0.25">
      <c r="A426" s="68" t="str">
        <f>IF(LEN(B425)=0,"",CONCATENATE('Ficha de desembarque'!$J$18,"_",'Ficha de desembarque'!$J$20,"_",DAY('Ficha de desembarque'!$J$16),MONTH('Ficha de desembarque'!$J$16),YEAR('Ficha de desembarque'!$J$16)))</f>
        <v/>
      </c>
      <c r="B426" s="22"/>
      <c r="C426" s="22"/>
      <c r="D426" s="22"/>
      <c r="E426" s="22"/>
      <c r="F426" s="22"/>
      <c r="G426" s="22"/>
      <c r="H426" s="22"/>
      <c r="I426" s="22"/>
      <c r="J426" s="22"/>
      <c r="K426" s="23"/>
      <c r="L426" s="34"/>
      <c r="N426" s="35">
        <f t="shared" si="12"/>
        <v>0</v>
      </c>
      <c r="O426" s="35">
        <f t="shared" si="13"/>
        <v>0</v>
      </c>
    </row>
    <row r="427" spans="1:15" s="9" customFormat="1" ht="18" x14ac:dyDescent="0.25">
      <c r="A427" s="69" t="str">
        <f>IF(LEN(B426)=0,"",CONCATENATE('Ficha de desembarque'!$J$18,"_",'Ficha de desembarque'!$J$20,"_",DAY('Ficha de desembarque'!$J$16),MONTH('Ficha de desembarque'!$J$16),YEAR('Ficha de desembarque'!$J$16)))</f>
        <v/>
      </c>
      <c r="B427" s="24"/>
      <c r="C427" s="24"/>
      <c r="D427" s="24"/>
      <c r="E427" s="24"/>
      <c r="F427" s="24"/>
      <c r="G427" s="24"/>
      <c r="H427" s="24"/>
      <c r="I427" s="24"/>
      <c r="J427" s="24"/>
      <c r="K427" s="25"/>
      <c r="L427" s="34"/>
      <c r="N427" s="35">
        <f t="shared" si="12"/>
        <v>0</v>
      </c>
      <c r="O427" s="35">
        <f t="shared" si="13"/>
        <v>0</v>
      </c>
    </row>
    <row r="428" spans="1:15" s="9" customFormat="1" ht="18" x14ac:dyDescent="0.25">
      <c r="A428" s="68" t="str">
        <f>IF(LEN(B427)=0,"",CONCATENATE('Ficha de desembarque'!$J$18,"_",'Ficha de desembarque'!$J$20,"_",DAY('Ficha de desembarque'!$J$16),MONTH('Ficha de desembarque'!$J$16),YEAR('Ficha de desembarque'!$J$16)))</f>
        <v/>
      </c>
      <c r="B428" s="22"/>
      <c r="C428" s="22"/>
      <c r="D428" s="22"/>
      <c r="E428" s="22"/>
      <c r="F428" s="22"/>
      <c r="G428" s="22"/>
      <c r="H428" s="22"/>
      <c r="I428" s="22"/>
      <c r="J428" s="22"/>
      <c r="K428" s="23"/>
      <c r="L428" s="34"/>
      <c r="N428" s="35">
        <f t="shared" si="12"/>
        <v>0</v>
      </c>
      <c r="O428" s="35">
        <f t="shared" si="13"/>
        <v>0</v>
      </c>
    </row>
    <row r="429" spans="1:15" s="9" customFormat="1" ht="18" x14ac:dyDescent="0.25">
      <c r="A429" s="69" t="str">
        <f>IF(LEN(B428)=0,"",CONCATENATE('Ficha de desembarque'!$J$18,"_",'Ficha de desembarque'!$J$20,"_",DAY('Ficha de desembarque'!$J$16),MONTH('Ficha de desembarque'!$J$16),YEAR('Ficha de desembarque'!$J$16)))</f>
        <v/>
      </c>
      <c r="B429" s="24"/>
      <c r="C429" s="24"/>
      <c r="D429" s="24"/>
      <c r="E429" s="24"/>
      <c r="F429" s="24"/>
      <c r="G429" s="24"/>
      <c r="H429" s="24"/>
      <c r="I429" s="24"/>
      <c r="J429" s="24"/>
      <c r="K429" s="25"/>
      <c r="L429" s="34"/>
      <c r="N429" s="35">
        <f t="shared" si="12"/>
        <v>0</v>
      </c>
      <c r="O429" s="35">
        <f t="shared" si="13"/>
        <v>0</v>
      </c>
    </row>
    <row r="430" spans="1:15" s="9" customFormat="1" ht="18" x14ac:dyDescent="0.25">
      <c r="A430" s="68" t="str">
        <f>IF(LEN(B429)=0,"",CONCATENATE('Ficha de desembarque'!$J$18,"_",'Ficha de desembarque'!$J$20,"_",DAY('Ficha de desembarque'!$J$16),MONTH('Ficha de desembarque'!$J$16),YEAR('Ficha de desembarque'!$J$16)))</f>
        <v/>
      </c>
      <c r="B430" s="22"/>
      <c r="C430" s="22"/>
      <c r="D430" s="22"/>
      <c r="E430" s="22"/>
      <c r="F430" s="22"/>
      <c r="G430" s="22"/>
      <c r="H430" s="22"/>
      <c r="I430" s="22"/>
      <c r="J430" s="22"/>
      <c r="K430" s="23"/>
      <c r="L430" s="34"/>
      <c r="N430" s="35">
        <f t="shared" si="12"/>
        <v>0</v>
      </c>
      <c r="O430" s="35">
        <f t="shared" si="13"/>
        <v>0</v>
      </c>
    </row>
    <row r="431" spans="1:15" s="9" customFormat="1" ht="18" x14ac:dyDescent="0.25">
      <c r="A431" s="69" t="str">
        <f>IF(LEN(B430)=0,"",CONCATENATE('Ficha de desembarque'!$J$18,"_",'Ficha de desembarque'!$J$20,"_",DAY('Ficha de desembarque'!$J$16),MONTH('Ficha de desembarque'!$J$16),YEAR('Ficha de desembarque'!$J$16)))</f>
        <v/>
      </c>
      <c r="B431" s="24"/>
      <c r="C431" s="24"/>
      <c r="D431" s="24"/>
      <c r="E431" s="24"/>
      <c r="F431" s="24"/>
      <c r="G431" s="24"/>
      <c r="H431" s="24"/>
      <c r="I431" s="24"/>
      <c r="J431" s="24"/>
      <c r="K431" s="25"/>
      <c r="L431" s="34"/>
      <c r="N431" s="35">
        <f t="shared" si="12"/>
        <v>0</v>
      </c>
      <c r="O431" s="35">
        <f t="shared" si="13"/>
        <v>0</v>
      </c>
    </row>
    <row r="432" spans="1:15" s="9" customFormat="1" ht="18" x14ac:dyDescent="0.25">
      <c r="A432" s="68" t="str">
        <f>IF(LEN(B431)=0,"",CONCATENATE('Ficha de desembarque'!$J$18,"_",'Ficha de desembarque'!$J$20,"_",DAY('Ficha de desembarque'!$J$16),MONTH('Ficha de desembarque'!$J$16),YEAR('Ficha de desembarque'!$J$16)))</f>
        <v/>
      </c>
      <c r="B432" s="22"/>
      <c r="C432" s="22"/>
      <c r="D432" s="22"/>
      <c r="E432" s="22"/>
      <c r="F432" s="22"/>
      <c r="G432" s="22"/>
      <c r="H432" s="22"/>
      <c r="I432" s="22"/>
      <c r="J432" s="22"/>
      <c r="K432" s="23"/>
      <c r="L432" s="34"/>
      <c r="N432" s="35">
        <f t="shared" si="12"/>
        <v>0</v>
      </c>
      <c r="O432" s="35">
        <f t="shared" si="13"/>
        <v>0</v>
      </c>
    </row>
    <row r="433" spans="1:15" s="9" customFormat="1" ht="18" x14ac:dyDescent="0.25">
      <c r="A433" s="69" t="str">
        <f>IF(LEN(B432)=0,"",CONCATENATE('Ficha de desembarque'!$J$18,"_",'Ficha de desembarque'!$J$20,"_",DAY('Ficha de desembarque'!$J$16),MONTH('Ficha de desembarque'!$J$16),YEAR('Ficha de desembarque'!$J$16)))</f>
        <v/>
      </c>
      <c r="B433" s="24"/>
      <c r="C433" s="24"/>
      <c r="D433" s="24"/>
      <c r="E433" s="24"/>
      <c r="F433" s="24"/>
      <c r="G433" s="24"/>
      <c r="H433" s="24"/>
      <c r="I433" s="24"/>
      <c r="J433" s="24"/>
      <c r="K433" s="25"/>
      <c r="L433" s="34"/>
      <c r="N433" s="35">
        <f t="shared" si="12"/>
        <v>0</v>
      </c>
      <c r="O433" s="35">
        <f t="shared" si="13"/>
        <v>0</v>
      </c>
    </row>
    <row r="434" spans="1:15" s="9" customFormat="1" ht="18" x14ac:dyDescent="0.25">
      <c r="A434" s="68" t="str">
        <f>IF(LEN(B433)=0,"",CONCATENATE('Ficha de desembarque'!$J$18,"_",'Ficha de desembarque'!$J$20,"_",DAY('Ficha de desembarque'!$J$16),MONTH('Ficha de desembarque'!$J$16),YEAR('Ficha de desembarque'!$J$16)))</f>
        <v/>
      </c>
      <c r="B434" s="22"/>
      <c r="C434" s="22"/>
      <c r="D434" s="22"/>
      <c r="E434" s="22"/>
      <c r="F434" s="22"/>
      <c r="G434" s="22"/>
      <c r="H434" s="22"/>
      <c r="I434" s="22"/>
      <c r="J434" s="22"/>
      <c r="K434" s="23"/>
      <c r="L434" s="34"/>
      <c r="N434" s="35">
        <f t="shared" si="12"/>
        <v>0</v>
      </c>
      <c r="O434" s="35">
        <f t="shared" si="13"/>
        <v>0</v>
      </c>
    </row>
    <row r="435" spans="1:15" s="9" customFormat="1" ht="18" x14ac:dyDescent="0.25">
      <c r="A435" s="69" t="str">
        <f>IF(LEN(B434)=0,"",CONCATENATE('Ficha de desembarque'!$J$18,"_",'Ficha de desembarque'!$J$20,"_",DAY('Ficha de desembarque'!$J$16),MONTH('Ficha de desembarque'!$J$16),YEAR('Ficha de desembarque'!$J$16)))</f>
        <v/>
      </c>
      <c r="B435" s="24"/>
      <c r="C435" s="24"/>
      <c r="D435" s="24"/>
      <c r="E435" s="24"/>
      <c r="F435" s="24"/>
      <c r="G435" s="24"/>
      <c r="H435" s="24"/>
      <c r="I435" s="24"/>
      <c r="J435" s="24"/>
      <c r="K435" s="25"/>
      <c r="L435" s="34"/>
      <c r="N435" s="35">
        <f t="shared" si="12"/>
        <v>0</v>
      </c>
      <c r="O435" s="35">
        <f t="shared" si="13"/>
        <v>0</v>
      </c>
    </row>
    <row r="436" spans="1:15" s="9" customFormat="1" ht="18" x14ac:dyDescent="0.25">
      <c r="A436" s="68" t="str">
        <f>IF(LEN(B435)=0,"",CONCATENATE('Ficha de desembarque'!$J$18,"_",'Ficha de desembarque'!$J$20,"_",DAY('Ficha de desembarque'!$J$16),MONTH('Ficha de desembarque'!$J$16),YEAR('Ficha de desembarque'!$J$16)))</f>
        <v/>
      </c>
      <c r="B436" s="22"/>
      <c r="C436" s="22"/>
      <c r="D436" s="22"/>
      <c r="E436" s="22"/>
      <c r="F436" s="22"/>
      <c r="G436" s="22"/>
      <c r="H436" s="22"/>
      <c r="I436" s="22"/>
      <c r="J436" s="22"/>
      <c r="K436" s="23"/>
      <c r="L436" s="34"/>
      <c r="N436" s="35">
        <f t="shared" si="12"/>
        <v>0</v>
      </c>
      <c r="O436" s="35">
        <f t="shared" si="13"/>
        <v>0</v>
      </c>
    </row>
    <row r="437" spans="1:15" s="9" customFormat="1" ht="18" x14ac:dyDescent="0.25">
      <c r="A437" s="69" t="str">
        <f>IF(LEN(B436)=0,"",CONCATENATE('Ficha de desembarque'!$J$18,"_",'Ficha de desembarque'!$J$20,"_",DAY('Ficha de desembarque'!$J$16),MONTH('Ficha de desembarque'!$J$16),YEAR('Ficha de desembarque'!$J$16)))</f>
        <v/>
      </c>
      <c r="B437" s="24"/>
      <c r="C437" s="24"/>
      <c r="D437" s="24"/>
      <c r="E437" s="24"/>
      <c r="F437" s="24"/>
      <c r="G437" s="24"/>
      <c r="H437" s="24"/>
      <c r="I437" s="24"/>
      <c r="J437" s="24"/>
      <c r="K437" s="25"/>
      <c r="L437" s="34"/>
      <c r="N437" s="35">
        <f t="shared" si="12"/>
        <v>0</v>
      </c>
      <c r="O437" s="35">
        <f t="shared" si="13"/>
        <v>0</v>
      </c>
    </row>
    <row r="438" spans="1:15" s="9" customFormat="1" ht="18" x14ac:dyDescent="0.25">
      <c r="A438" s="68" t="str">
        <f>IF(LEN(B437)=0,"",CONCATENATE('Ficha de desembarque'!$J$18,"_",'Ficha de desembarque'!$J$20,"_",DAY('Ficha de desembarque'!$J$16),MONTH('Ficha de desembarque'!$J$16),YEAR('Ficha de desembarque'!$J$16)))</f>
        <v/>
      </c>
      <c r="B438" s="22"/>
      <c r="C438" s="22"/>
      <c r="D438" s="22"/>
      <c r="E438" s="22"/>
      <c r="F438" s="22"/>
      <c r="G438" s="22"/>
      <c r="H438" s="22"/>
      <c r="I438" s="22"/>
      <c r="J438" s="22"/>
      <c r="K438" s="23"/>
      <c r="L438" s="34"/>
      <c r="N438" s="35">
        <f t="shared" si="12"/>
        <v>0</v>
      </c>
      <c r="O438" s="35">
        <f t="shared" si="13"/>
        <v>0</v>
      </c>
    </row>
    <row r="439" spans="1:15" s="9" customFormat="1" ht="18" x14ac:dyDescent="0.25">
      <c r="A439" s="69" t="str">
        <f>IF(LEN(B438)=0,"",CONCATENATE('Ficha de desembarque'!$J$18,"_",'Ficha de desembarque'!$J$20,"_",DAY('Ficha de desembarque'!$J$16),MONTH('Ficha de desembarque'!$J$16),YEAR('Ficha de desembarque'!$J$16)))</f>
        <v/>
      </c>
      <c r="B439" s="24"/>
      <c r="C439" s="24"/>
      <c r="D439" s="24"/>
      <c r="E439" s="24"/>
      <c r="F439" s="24"/>
      <c r="G439" s="24"/>
      <c r="H439" s="24"/>
      <c r="I439" s="24"/>
      <c r="J439" s="24"/>
      <c r="K439" s="25"/>
      <c r="L439" s="34"/>
      <c r="N439" s="35">
        <f t="shared" si="12"/>
        <v>0</v>
      </c>
      <c r="O439" s="35">
        <f t="shared" si="13"/>
        <v>0</v>
      </c>
    </row>
    <row r="440" spans="1:15" s="9" customFormat="1" ht="18" x14ac:dyDescent="0.25">
      <c r="A440" s="68" t="str">
        <f>IF(LEN(B439)=0,"",CONCATENATE('Ficha de desembarque'!$J$18,"_",'Ficha de desembarque'!$J$20,"_",DAY('Ficha de desembarque'!$J$16),MONTH('Ficha de desembarque'!$J$16),YEAR('Ficha de desembarque'!$J$16)))</f>
        <v/>
      </c>
      <c r="B440" s="22"/>
      <c r="C440" s="22"/>
      <c r="D440" s="22"/>
      <c r="E440" s="22"/>
      <c r="F440" s="22"/>
      <c r="G440" s="22"/>
      <c r="H440" s="22"/>
      <c r="I440" s="22"/>
      <c r="J440" s="22"/>
      <c r="K440" s="23"/>
      <c r="L440" s="34"/>
      <c r="N440" s="35">
        <f t="shared" si="12"/>
        <v>0</v>
      </c>
      <c r="O440" s="35">
        <f t="shared" si="13"/>
        <v>0</v>
      </c>
    </row>
    <row r="441" spans="1:15" s="9" customFormat="1" ht="18" x14ac:dyDescent="0.25">
      <c r="A441" s="69" t="str">
        <f>IF(LEN(B440)=0,"",CONCATENATE('Ficha de desembarque'!$J$18,"_",'Ficha de desembarque'!$J$20,"_",DAY('Ficha de desembarque'!$J$16),MONTH('Ficha de desembarque'!$J$16),YEAR('Ficha de desembarque'!$J$16)))</f>
        <v/>
      </c>
      <c r="B441" s="24"/>
      <c r="C441" s="24"/>
      <c r="D441" s="24"/>
      <c r="E441" s="24"/>
      <c r="F441" s="24"/>
      <c r="G441" s="24"/>
      <c r="H441" s="24"/>
      <c r="I441" s="24"/>
      <c r="J441" s="24"/>
      <c r="K441" s="25"/>
      <c r="L441" s="34"/>
      <c r="N441" s="35">
        <f t="shared" si="12"/>
        <v>0</v>
      </c>
      <c r="O441" s="35">
        <f t="shared" si="13"/>
        <v>0</v>
      </c>
    </row>
    <row r="442" spans="1:15" s="9" customFormat="1" ht="18" x14ac:dyDescent="0.25">
      <c r="A442" s="68" t="str">
        <f>IF(LEN(B441)=0,"",CONCATENATE('Ficha de desembarque'!$J$18,"_",'Ficha de desembarque'!$J$20,"_",DAY('Ficha de desembarque'!$J$16),MONTH('Ficha de desembarque'!$J$16),YEAR('Ficha de desembarque'!$J$16)))</f>
        <v/>
      </c>
      <c r="B442" s="22"/>
      <c r="C442" s="22"/>
      <c r="D442" s="22"/>
      <c r="E442" s="22"/>
      <c r="F442" s="22"/>
      <c r="G442" s="22"/>
      <c r="H442" s="22"/>
      <c r="I442" s="22"/>
      <c r="J442" s="22"/>
      <c r="K442" s="23"/>
      <c r="L442" s="34"/>
      <c r="N442" s="35">
        <f t="shared" si="12"/>
        <v>0</v>
      </c>
      <c r="O442" s="35">
        <f t="shared" si="13"/>
        <v>0</v>
      </c>
    </row>
    <row r="443" spans="1:15" s="9" customFormat="1" ht="18" x14ac:dyDescent="0.25">
      <c r="A443" s="69" t="str">
        <f>IF(LEN(B442)=0,"",CONCATENATE('Ficha de desembarque'!$J$18,"_",'Ficha de desembarque'!$J$20,"_",DAY('Ficha de desembarque'!$J$16),MONTH('Ficha de desembarque'!$J$16),YEAR('Ficha de desembarque'!$J$16)))</f>
        <v/>
      </c>
      <c r="B443" s="24"/>
      <c r="C443" s="24"/>
      <c r="D443" s="24"/>
      <c r="E443" s="24"/>
      <c r="F443" s="24"/>
      <c r="G443" s="24"/>
      <c r="H443" s="24"/>
      <c r="I443" s="24"/>
      <c r="J443" s="24"/>
      <c r="K443" s="25"/>
      <c r="L443" s="34"/>
      <c r="N443" s="35">
        <f t="shared" si="12"/>
        <v>0</v>
      </c>
      <c r="O443" s="35">
        <f t="shared" si="13"/>
        <v>0</v>
      </c>
    </row>
    <row r="444" spans="1:15" s="9" customFormat="1" ht="18" x14ac:dyDescent="0.25">
      <c r="A444" s="68" t="str">
        <f>IF(LEN(B443)=0,"",CONCATENATE('Ficha de desembarque'!$J$18,"_",'Ficha de desembarque'!$J$20,"_",DAY('Ficha de desembarque'!$J$16),MONTH('Ficha de desembarque'!$J$16),YEAR('Ficha de desembarque'!$J$16)))</f>
        <v/>
      </c>
      <c r="B444" s="22"/>
      <c r="C444" s="22"/>
      <c r="D444" s="22"/>
      <c r="E444" s="22"/>
      <c r="F444" s="22"/>
      <c r="G444" s="22"/>
      <c r="H444" s="22"/>
      <c r="I444" s="22"/>
      <c r="J444" s="22"/>
      <c r="K444" s="23"/>
      <c r="L444" s="34"/>
      <c r="N444" s="35">
        <f t="shared" si="12"/>
        <v>0</v>
      </c>
      <c r="O444" s="35">
        <f t="shared" si="13"/>
        <v>0</v>
      </c>
    </row>
    <row r="445" spans="1:15" s="9" customFormat="1" ht="18" x14ac:dyDescent="0.25">
      <c r="A445" s="69" t="str">
        <f>IF(LEN(B444)=0,"",CONCATENATE('Ficha de desembarque'!$J$18,"_",'Ficha de desembarque'!$J$20,"_",DAY('Ficha de desembarque'!$J$16),MONTH('Ficha de desembarque'!$J$16),YEAR('Ficha de desembarque'!$J$16)))</f>
        <v/>
      </c>
      <c r="B445" s="24"/>
      <c r="C445" s="24"/>
      <c r="D445" s="24"/>
      <c r="E445" s="24"/>
      <c r="F445" s="24"/>
      <c r="G445" s="24"/>
      <c r="H445" s="24"/>
      <c r="I445" s="24"/>
      <c r="J445" s="24"/>
      <c r="K445" s="25"/>
      <c r="L445" s="34"/>
      <c r="N445" s="35">
        <f t="shared" si="12"/>
        <v>0</v>
      </c>
      <c r="O445" s="35">
        <f t="shared" si="13"/>
        <v>0</v>
      </c>
    </row>
    <row r="446" spans="1:15" s="9" customFormat="1" ht="18" x14ac:dyDescent="0.25">
      <c r="A446" s="68" t="str">
        <f>IF(LEN(B445)=0,"",CONCATENATE('Ficha de desembarque'!$J$18,"_",'Ficha de desembarque'!$J$20,"_",DAY('Ficha de desembarque'!$J$16),MONTH('Ficha de desembarque'!$J$16),YEAR('Ficha de desembarque'!$J$16)))</f>
        <v/>
      </c>
      <c r="B446" s="22"/>
      <c r="C446" s="22"/>
      <c r="D446" s="22"/>
      <c r="E446" s="22"/>
      <c r="F446" s="22"/>
      <c r="G446" s="22"/>
      <c r="H446" s="22"/>
      <c r="I446" s="22"/>
      <c r="J446" s="22"/>
      <c r="K446" s="23"/>
      <c r="L446" s="34"/>
      <c r="N446" s="35">
        <f t="shared" si="12"/>
        <v>0</v>
      </c>
      <c r="O446" s="35">
        <f t="shared" si="13"/>
        <v>0</v>
      </c>
    </row>
    <row r="447" spans="1:15" s="9" customFormat="1" ht="18" x14ac:dyDescent="0.25">
      <c r="A447" s="69" t="str">
        <f>IF(LEN(B446)=0,"",CONCATENATE('Ficha de desembarque'!$J$18,"_",'Ficha de desembarque'!$J$20,"_",DAY('Ficha de desembarque'!$J$16),MONTH('Ficha de desembarque'!$J$16),YEAR('Ficha de desembarque'!$J$16)))</f>
        <v/>
      </c>
      <c r="B447" s="24"/>
      <c r="C447" s="24"/>
      <c r="D447" s="24"/>
      <c r="E447" s="24"/>
      <c r="F447" s="24"/>
      <c r="G447" s="24"/>
      <c r="H447" s="24"/>
      <c r="I447" s="24"/>
      <c r="J447" s="24"/>
      <c r="K447" s="25"/>
      <c r="L447" s="34"/>
      <c r="N447" s="35">
        <f t="shared" si="12"/>
        <v>0</v>
      </c>
      <c r="O447" s="35">
        <f t="shared" si="13"/>
        <v>0</v>
      </c>
    </row>
    <row r="448" spans="1:15" s="9" customFormat="1" ht="18" x14ac:dyDescent="0.25">
      <c r="A448" s="68" t="str">
        <f>IF(LEN(B447)=0,"",CONCATENATE('Ficha de desembarque'!$J$18,"_",'Ficha de desembarque'!$J$20,"_",DAY('Ficha de desembarque'!$J$16),MONTH('Ficha de desembarque'!$J$16),YEAR('Ficha de desembarque'!$J$16)))</f>
        <v/>
      </c>
      <c r="B448" s="22"/>
      <c r="C448" s="22"/>
      <c r="D448" s="22"/>
      <c r="E448" s="22"/>
      <c r="F448" s="22"/>
      <c r="G448" s="22"/>
      <c r="H448" s="22"/>
      <c r="I448" s="22"/>
      <c r="J448" s="22"/>
      <c r="K448" s="23"/>
      <c r="L448" s="34"/>
      <c r="N448" s="35">
        <f t="shared" si="12"/>
        <v>0</v>
      </c>
      <c r="O448" s="35">
        <f t="shared" si="13"/>
        <v>0</v>
      </c>
    </row>
    <row r="449" spans="1:15" s="9" customFormat="1" ht="18" x14ac:dyDescent="0.25">
      <c r="A449" s="69" t="str">
        <f>IF(LEN(B448)=0,"",CONCATENATE('Ficha de desembarque'!$J$18,"_",'Ficha de desembarque'!$J$20,"_",DAY('Ficha de desembarque'!$J$16),MONTH('Ficha de desembarque'!$J$16),YEAR('Ficha de desembarque'!$J$16)))</f>
        <v/>
      </c>
      <c r="B449" s="24"/>
      <c r="C449" s="24"/>
      <c r="D449" s="24"/>
      <c r="E449" s="24"/>
      <c r="F449" s="24"/>
      <c r="G449" s="24"/>
      <c r="H449" s="24"/>
      <c r="I449" s="24"/>
      <c r="J449" s="24"/>
      <c r="K449" s="25"/>
      <c r="L449" s="34"/>
      <c r="N449" s="35">
        <f t="shared" si="12"/>
        <v>0</v>
      </c>
      <c r="O449" s="35">
        <f t="shared" si="13"/>
        <v>0</v>
      </c>
    </row>
    <row r="450" spans="1:15" s="9" customFormat="1" ht="18" x14ac:dyDescent="0.25">
      <c r="A450" s="68" t="str">
        <f>IF(LEN(B449)=0,"",CONCATENATE('Ficha de desembarque'!$J$18,"_",'Ficha de desembarque'!$J$20,"_",DAY('Ficha de desembarque'!$J$16),MONTH('Ficha de desembarque'!$J$16),YEAR('Ficha de desembarque'!$J$16)))</f>
        <v/>
      </c>
      <c r="B450" s="22"/>
      <c r="C450" s="22"/>
      <c r="D450" s="22"/>
      <c r="E450" s="22"/>
      <c r="F450" s="22"/>
      <c r="G450" s="22"/>
      <c r="H450" s="22"/>
      <c r="I450" s="22"/>
      <c r="J450" s="22"/>
      <c r="K450" s="23"/>
      <c r="L450" s="34"/>
      <c r="N450" s="35">
        <f t="shared" si="12"/>
        <v>0</v>
      </c>
      <c r="O450" s="35">
        <f t="shared" si="13"/>
        <v>0</v>
      </c>
    </row>
    <row r="451" spans="1:15" s="9" customFormat="1" ht="18" x14ac:dyDescent="0.25">
      <c r="A451" s="69" t="str">
        <f>IF(LEN(B450)=0,"",CONCATENATE('Ficha de desembarque'!$J$18,"_",'Ficha de desembarque'!$J$20,"_",DAY('Ficha de desembarque'!$J$16),MONTH('Ficha de desembarque'!$J$16),YEAR('Ficha de desembarque'!$J$16)))</f>
        <v/>
      </c>
      <c r="B451" s="24"/>
      <c r="C451" s="24"/>
      <c r="D451" s="24"/>
      <c r="E451" s="24"/>
      <c r="F451" s="24"/>
      <c r="G451" s="24"/>
      <c r="H451" s="24"/>
      <c r="I451" s="24"/>
      <c r="J451" s="24"/>
      <c r="K451" s="25"/>
      <c r="L451" s="34"/>
      <c r="N451" s="35">
        <f t="shared" si="12"/>
        <v>0</v>
      </c>
      <c r="O451" s="35">
        <f t="shared" si="13"/>
        <v>0</v>
      </c>
    </row>
    <row r="452" spans="1:15" s="9" customFormat="1" ht="18" x14ac:dyDescent="0.25">
      <c r="A452" s="68" t="str">
        <f>IF(LEN(B451)=0,"",CONCATENATE('Ficha de desembarque'!$J$18,"_",'Ficha de desembarque'!$J$20,"_",DAY('Ficha de desembarque'!$J$16),MONTH('Ficha de desembarque'!$J$16),YEAR('Ficha de desembarque'!$J$16)))</f>
        <v/>
      </c>
      <c r="B452" s="22"/>
      <c r="C452" s="22"/>
      <c r="D452" s="22"/>
      <c r="E452" s="22"/>
      <c r="F452" s="22"/>
      <c r="G452" s="22"/>
      <c r="H452" s="22"/>
      <c r="I452" s="22"/>
      <c r="J452" s="22"/>
      <c r="K452" s="23"/>
      <c r="L452" s="34"/>
      <c r="N452" s="35">
        <f t="shared" si="12"/>
        <v>0</v>
      </c>
      <c r="O452" s="35">
        <f t="shared" si="13"/>
        <v>0</v>
      </c>
    </row>
    <row r="453" spans="1:15" s="9" customFormat="1" ht="18" x14ac:dyDescent="0.25">
      <c r="A453" s="69" t="str">
        <f>IF(LEN(B452)=0,"",CONCATENATE('Ficha de desembarque'!$J$18,"_",'Ficha de desembarque'!$J$20,"_",DAY('Ficha de desembarque'!$J$16),MONTH('Ficha de desembarque'!$J$16),YEAR('Ficha de desembarque'!$J$16)))</f>
        <v/>
      </c>
      <c r="B453" s="24"/>
      <c r="C453" s="24"/>
      <c r="D453" s="24"/>
      <c r="E453" s="24"/>
      <c r="F453" s="24"/>
      <c r="G453" s="24"/>
      <c r="H453" s="24"/>
      <c r="I453" s="24"/>
      <c r="J453" s="24"/>
      <c r="K453" s="25"/>
      <c r="L453" s="34"/>
      <c r="N453" s="35">
        <f t="shared" si="12"/>
        <v>0</v>
      </c>
      <c r="O453" s="35">
        <f t="shared" si="13"/>
        <v>0</v>
      </c>
    </row>
    <row r="454" spans="1:15" s="9" customFormat="1" ht="18" x14ac:dyDescent="0.25">
      <c r="A454" s="68" t="str">
        <f>IF(LEN(B453)=0,"",CONCATENATE('Ficha de desembarque'!$J$18,"_",'Ficha de desembarque'!$J$20,"_",DAY('Ficha de desembarque'!$J$16),MONTH('Ficha de desembarque'!$J$16),YEAR('Ficha de desembarque'!$J$16)))</f>
        <v/>
      </c>
      <c r="B454" s="22"/>
      <c r="C454" s="22"/>
      <c r="D454" s="22"/>
      <c r="E454" s="22"/>
      <c r="F454" s="22"/>
      <c r="G454" s="22"/>
      <c r="H454" s="22"/>
      <c r="I454" s="22"/>
      <c r="J454" s="22"/>
      <c r="K454" s="23"/>
      <c r="L454" s="34"/>
      <c r="N454" s="35">
        <f t="shared" si="12"/>
        <v>0</v>
      </c>
      <c r="O454" s="35">
        <f t="shared" si="13"/>
        <v>0</v>
      </c>
    </row>
    <row r="455" spans="1:15" s="9" customFormat="1" ht="18" x14ac:dyDescent="0.25">
      <c r="A455" s="69" t="str">
        <f>IF(LEN(B454)=0,"",CONCATENATE('Ficha de desembarque'!$J$18,"_",'Ficha de desembarque'!$J$20,"_",DAY('Ficha de desembarque'!$J$16),MONTH('Ficha de desembarque'!$J$16),YEAR('Ficha de desembarque'!$J$16)))</f>
        <v/>
      </c>
      <c r="B455" s="24"/>
      <c r="C455" s="24"/>
      <c r="D455" s="24"/>
      <c r="E455" s="24"/>
      <c r="F455" s="24"/>
      <c r="G455" s="24"/>
      <c r="H455" s="24"/>
      <c r="I455" s="24"/>
      <c r="J455" s="24"/>
      <c r="K455" s="25"/>
      <c r="L455" s="34"/>
      <c r="N455" s="35">
        <f t="shared" si="12"/>
        <v>0</v>
      </c>
      <c r="O455" s="35">
        <f t="shared" si="13"/>
        <v>0</v>
      </c>
    </row>
    <row r="456" spans="1:15" s="9" customFormat="1" ht="18" x14ac:dyDescent="0.25">
      <c r="A456" s="68" t="str">
        <f>IF(LEN(B455)=0,"",CONCATENATE('Ficha de desembarque'!$J$18,"_",'Ficha de desembarque'!$J$20,"_",DAY('Ficha de desembarque'!$J$16),MONTH('Ficha de desembarque'!$J$16),YEAR('Ficha de desembarque'!$J$16)))</f>
        <v/>
      </c>
      <c r="B456" s="22"/>
      <c r="C456" s="22"/>
      <c r="D456" s="22"/>
      <c r="E456" s="22"/>
      <c r="F456" s="22"/>
      <c r="G456" s="22"/>
      <c r="H456" s="22"/>
      <c r="I456" s="22"/>
      <c r="J456" s="22"/>
      <c r="K456" s="23"/>
      <c r="L456" s="34"/>
      <c r="N456" s="35">
        <f t="shared" si="12"/>
        <v>0</v>
      </c>
      <c r="O456" s="35">
        <f t="shared" si="13"/>
        <v>0</v>
      </c>
    </row>
    <row r="457" spans="1:15" s="9" customFormat="1" ht="18" x14ac:dyDescent="0.25">
      <c r="A457" s="69" t="str">
        <f>IF(LEN(B456)=0,"",CONCATENATE('Ficha de desembarque'!$J$18,"_",'Ficha de desembarque'!$J$20,"_",DAY('Ficha de desembarque'!$J$16),MONTH('Ficha de desembarque'!$J$16),YEAR('Ficha de desembarque'!$J$16)))</f>
        <v/>
      </c>
      <c r="B457" s="24"/>
      <c r="C457" s="24"/>
      <c r="D457" s="24"/>
      <c r="E457" s="24"/>
      <c r="F457" s="24"/>
      <c r="G457" s="24"/>
      <c r="H457" s="24"/>
      <c r="I457" s="24"/>
      <c r="J457" s="24"/>
      <c r="K457" s="25"/>
      <c r="L457" s="34"/>
      <c r="N457" s="35">
        <f t="shared" si="12"/>
        <v>0</v>
      </c>
      <c r="O457" s="35">
        <f t="shared" si="13"/>
        <v>0</v>
      </c>
    </row>
    <row r="458" spans="1:15" s="9" customFormat="1" ht="18" x14ac:dyDescent="0.25">
      <c r="A458" s="68" t="str">
        <f>IF(LEN(B457)=0,"",CONCATENATE('Ficha de desembarque'!$J$18,"_",'Ficha de desembarque'!$J$20,"_",DAY('Ficha de desembarque'!$J$16),MONTH('Ficha de desembarque'!$J$16),YEAR('Ficha de desembarque'!$J$16)))</f>
        <v/>
      </c>
      <c r="B458" s="22"/>
      <c r="C458" s="22"/>
      <c r="D458" s="22"/>
      <c r="E458" s="22"/>
      <c r="F458" s="22"/>
      <c r="G458" s="22"/>
      <c r="H458" s="22"/>
      <c r="I458" s="22"/>
      <c r="J458" s="22"/>
      <c r="K458" s="23"/>
      <c r="L458" s="34"/>
      <c r="N458" s="35">
        <f t="shared" si="12"/>
        <v>0</v>
      </c>
      <c r="O458" s="35">
        <f t="shared" si="13"/>
        <v>0</v>
      </c>
    </row>
    <row r="459" spans="1:15" s="9" customFormat="1" ht="18" x14ac:dyDescent="0.25">
      <c r="A459" s="69" t="str">
        <f>IF(LEN(B458)=0,"",CONCATENATE('Ficha de desembarque'!$J$18,"_",'Ficha de desembarque'!$J$20,"_",DAY('Ficha de desembarque'!$J$16),MONTH('Ficha de desembarque'!$J$16),YEAR('Ficha de desembarque'!$J$16)))</f>
        <v/>
      </c>
      <c r="B459" s="24"/>
      <c r="C459" s="24"/>
      <c r="D459" s="24"/>
      <c r="E459" s="24"/>
      <c r="F459" s="24"/>
      <c r="G459" s="24"/>
      <c r="H459" s="24"/>
      <c r="I459" s="24"/>
      <c r="J459" s="24"/>
      <c r="K459" s="25"/>
      <c r="L459" s="34"/>
      <c r="N459" s="35">
        <f t="shared" si="12"/>
        <v>0</v>
      </c>
      <c r="O459" s="35">
        <f t="shared" si="13"/>
        <v>0</v>
      </c>
    </row>
    <row r="460" spans="1:15" s="9" customFormat="1" ht="18" x14ac:dyDescent="0.25">
      <c r="A460" s="68" t="str">
        <f>IF(LEN(B459)=0,"",CONCATENATE('Ficha de desembarque'!$J$18,"_",'Ficha de desembarque'!$J$20,"_",DAY('Ficha de desembarque'!$J$16),MONTH('Ficha de desembarque'!$J$16),YEAR('Ficha de desembarque'!$J$16)))</f>
        <v/>
      </c>
      <c r="B460" s="22"/>
      <c r="C460" s="22"/>
      <c r="D460" s="22"/>
      <c r="E460" s="22"/>
      <c r="F460" s="22"/>
      <c r="G460" s="22"/>
      <c r="H460" s="22"/>
      <c r="I460" s="22"/>
      <c r="J460" s="22"/>
      <c r="K460" s="23"/>
      <c r="L460" s="34"/>
      <c r="N460" s="35">
        <f t="shared" ref="N460:N523" si="14">MAX(0,D460)</f>
        <v>0</v>
      </c>
      <c r="O460" s="35">
        <f t="shared" ref="O460:O523" si="15">MAX(0,F460)</f>
        <v>0</v>
      </c>
    </row>
    <row r="461" spans="1:15" s="9" customFormat="1" ht="18" x14ac:dyDescent="0.25">
      <c r="A461" s="69" t="str">
        <f>IF(LEN(B460)=0,"",CONCATENATE('Ficha de desembarque'!$J$18,"_",'Ficha de desembarque'!$J$20,"_",DAY('Ficha de desembarque'!$J$16),MONTH('Ficha de desembarque'!$J$16),YEAR('Ficha de desembarque'!$J$16)))</f>
        <v/>
      </c>
      <c r="B461" s="24"/>
      <c r="C461" s="24"/>
      <c r="D461" s="24"/>
      <c r="E461" s="24"/>
      <c r="F461" s="24"/>
      <c r="G461" s="24"/>
      <c r="H461" s="24"/>
      <c r="I461" s="24"/>
      <c r="J461" s="24"/>
      <c r="K461" s="25"/>
      <c r="L461" s="34"/>
      <c r="N461" s="35">
        <f t="shared" si="14"/>
        <v>0</v>
      </c>
      <c r="O461" s="35">
        <f t="shared" si="15"/>
        <v>0</v>
      </c>
    </row>
    <row r="462" spans="1:15" s="9" customFormat="1" ht="18" x14ac:dyDescent="0.25">
      <c r="A462" s="68" t="str">
        <f>IF(LEN(B461)=0,"",CONCATENATE('Ficha de desembarque'!$J$18,"_",'Ficha de desembarque'!$J$20,"_",DAY('Ficha de desembarque'!$J$16),MONTH('Ficha de desembarque'!$J$16),YEAR('Ficha de desembarque'!$J$16)))</f>
        <v/>
      </c>
      <c r="B462" s="22"/>
      <c r="C462" s="22"/>
      <c r="D462" s="22"/>
      <c r="E462" s="22"/>
      <c r="F462" s="22"/>
      <c r="G462" s="22"/>
      <c r="H462" s="22"/>
      <c r="I462" s="22"/>
      <c r="J462" s="22"/>
      <c r="K462" s="23"/>
      <c r="L462" s="34"/>
      <c r="N462" s="35">
        <f t="shared" si="14"/>
        <v>0</v>
      </c>
      <c r="O462" s="35">
        <f t="shared" si="15"/>
        <v>0</v>
      </c>
    </row>
    <row r="463" spans="1:15" s="9" customFormat="1" ht="18" x14ac:dyDescent="0.25">
      <c r="A463" s="69" t="str">
        <f>IF(LEN(B462)=0,"",CONCATENATE('Ficha de desembarque'!$J$18,"_",'Ficha de desembarque'!$J$20,"_",DAY('Ficha de desembarque'!$J$16),MONTH('Ficha de desembarque'!$J$16),YEAR('Ficha de desembarque'!$J$16)))</f>
        <v/>
      </c>
      <c r="B463" s="24"/>
      <c r="C463" s="24"/>
      <c r="D463" s="24"/>
      <c r="E463" s="24"/>
      <c r="F463" s="24"/>
      <c r="G463" s="24"/>
      <c r="H463" s="24"/>
      <c r="I463" s="24"/>
      <c r="J463" s="24"/>
      <c r="K463" s="25"/>
      <c r="L463" s="34"/>
      <c r="N463" s="35">
        <f t="shared" si="14"/>
        <v>0</v>
      </c>
      <c r="O463" s="35">
        <f t="shared" si="15"/>
        <v>0</v>
      </c>
    </row>
    <row r="464" spans="1:15" s="9" customFormat="1" ht="18" x14ac:dyDescent="0.25">
      <c r="A464" s="68" t="str">
        <f>IF(LEN(B463)=0,"",CONCATENATE('Ficha de desembarque'!$J$18,"_",'Ficha de desembarque'!$J$20,"_",DAY('Ficha de desembarque'!$J$16),MONTH('Ficha de desembarque'!$J$16),YEAR('Ficha de desembarque'!$J$16)))</f>
        <v/>
      </c>
      <c r="B464" s="22"/>
      <c r="C464" s="22"/>
      <c r="D464" s="22"/>
      <c r="E464" s="22"/>
      <c r="F464" s="22"/>
      <c r="G464" s="22"/>
      <c r="H464" s="22"/>
      <c r="I464" s="22"/>
      <c r="J464" s="22"/>
      <c r="K464" s="23"/>
      <c r="L464" s="34"/>
      <c r="N464" s="35">
        <f t="shared" si="14"/>
        <v>0</v>
      </c>
      <c r="O464" s="35">
        <f t="shared" si="15"/>
        <v>0</v>
      </c>
    </row>
    <row r="465" spans="1:15" s="9" customFormat="1" ht="18" x14ac:dyDescent="0.25">
      <c r="A465" s="69" t="str">
        <f>IF(LEN(B464)=0,"",CONCATENATE('Ficha de desembarque'!$J$18,"_",'Ficha de desembarque'!$J$20,"_",DAY('Ficha de desembarque'!$J$16),MONTH('Ficha de desembarque'!$J$16),YEAR('Ficha de desembarque'!$J$16)))</f>
        <v/>
      </c>
      <c r="B465" s="24"/>
      <c r="C465" s="24"/>
      <c r="D465" s="24"/>
      <c r="E465" s="24"/>
      <c r="F465" s="24"/>
      <c r="G465" s="24"/>
      <c r="H465" s="24"/>
      <c r="I465" s="24"/>
      <c r="J465" s="24"/>
      <c r="K465" s="25"/>
      <c r="L465" s="34"/>
      <c r="N465" s="35">
        <f t="shared" si="14"/>
        <v>0</v>
      </c>
      <c r="O465" s="35">
        <f t="shared" si="15"/>
        <v>0</v>
      </c>
    </row>
    <row r="466" spans="1:15" s="9" customFormat="1" ht="18" x14ac:dyDescent="0.25">
      <c r="A466" s="68" t="str">
        <f>IF(LEN(B465)=0,"",CONCATENATE('Ficha de desembarque'!$J$18,"_",'Ficha de desembarque'!$J$20,"_",DAY('Ficha de desembarque'!$J$16),MONTH('Ficha de desembarque'!$J$16),YEAR('Ficha de desembarque'!$J$16)))</f>
        <v/>
      </c>
      <c r="B466" s="22"/>
      <c r="C466" s="22"/>
      <c r="D466" s="22"/>
      <c r="E466" s="22"/>
      <c r="F466" s="22"/>
      <c r="G466" s="22"/>
      <c r="H466" s="22"/>
      <c r="I466" s="22"/>
      <c r="J466" s="22"/>
      <c r="K466" s="23"/>
      <c r="L466" s="34"/>
      <c r="N466" s="35">
        <f t="shared" si="14"/>
        <v>0</v>
      </c>
      <c r="O466" s="35">
        <f t="shared" si="15"/>
        <v>0</v>
      </c>
    </row>
    <row r="467" spans="1:15" s="9" customFormat="1" ht="18" x14ac:dyDescent="0.25">
      <c r="A467" s="69" t="str">
        <f>IF(LEN(B466)=0,"",CONCATENATE('Ficha de desembarque'!$J$18,"_",'Ficha de desembarque'!$J$20,"_",DAY('Ficha de desembarque'!$J$16),MONTH('Ficha de desembarque'!$J$16),YEAR('Ficha de desembarque'!$J$16)))</f>
        <v/>
      </c>
      <c r="B467" s="24"/>
      <c r="C467" s="24"/>
      <c r="D467" s="24"/>
      <c r="E467" s="24"/>
      <c r="F467" s="24"/>
      <c r="G467" s="24"/>
      <c r="H467" s="24"/>
      <c r="I467" s="24"/>
      <c r="J467" s="24"/>
      <c r="K467" s="25"/>
      <c r="L467" s="34"/>
      <c r="N467" s="35">
        <f t="shared" si="14"/>
        <v>0</v>
      </c>
      <c r="O467" s="35">
        <f t="shared" si="15"/>
        <v>0</v>
      </c>
    </row>
    <row r="468" spans="1:15" s="9" customFormat="1" ht="18" x14ac:dyDescent="0.25">
      <c r="A468" s="68" t="str">
        <f>IF(LEN(B467)=0,"",CONCATENATE('Ficha de desembarque'!$J$18,"_",'Ficha de desembarque'!$J$20,"_",DAY('Ficha de desembarque'!$J$16),MONTH('Ficha de desembarque'!$J$16),YEAR('Ficha de desembarque'!$J$16)))</f>
        <v/>
      </c>
      <c r="B468" s="22"/>
      <c r="C468" s="22"/>
      <c r="D468" s="22"/>
      <c r="E468" s="22"/>
      <c r="F468" s="22"/>
      <c r="G468" s="22"/>
      <c r="H468" s="22"/>
      <c r="I468" s="22"/>
      <c r="J468" s="22"/>
      <c r="K468" s="23"/>
      <c r="L468" s="34"/>
      <c r="N468" s="35">
        <f t="shared" si="14"/>
        <v>0</v>
      </c>
      <c r="O468" s="35">
        <f t="shared" si="15"/>
        <v>0</v>
      </c>
    </row>
    <row r="469" spans="1:15" s="9" customFormat="1" ht="18" x14ac:dyDescent="0.25">
      <c r="A469" s="69" t="str">
        <f>IF(LEN(B468)=0,"",CONCATENATE('Ficha de desembarque'!$J$18,"_",'Ficha de desembarque'!$J$20,"_",DAY('Ficha de desembarque'!$J$16),MONTH('Ficha de desembarque'!$J$16),YEAR('Ficha de desembarque'!$J$16)))</f>
        <v/>
      </c>
      <c r="B469" s="24"/>
      <c r="C469" s="24"/>
      <c r="D469" s="24"/>
      <c r="E469" s="24"/>
      <c r="F469" s="24"/>
      <c r="G469" s="24"/>
      <c r="H469" s="24"/>
      <c r="I469" s="24"/>
      <c r="J469" s="24"/>
      <c r="K469" s="25"/>
      <c r="L469" s="34"/>
      <c r="N469" s="35">
        <f t="shared" si="14"/>
        <v>0</v>
      </c>
      <c r="O469" s="35">
        <f t="shared" si="15"/>
        <v>0</v>
      </c>
    </row>
    <row r="470" spans="1:15" s="9" customFormat="1" ht="18" x14ac:dyDescent="0.25">
      <c r="A470" s="68" t="str">
        <f>IF(LEN(B469)=0,"",CONCATENATE('Ficha de desembarque'!$J$18,"_",'Ficha de desembarque'!$J$20,"_",DAY('Ficha de desembarque'!$J$16),MONTH('Ficha de desembarque'!$J$16),YEAR('Ficha de desembarque'!$J$16)))</f>
        <v/>
      </c>
      <c r="B470" s="22"/>
      <c r="C470" s="22"/>
      <c r="D470" s="22"/>
      <c r="E470" s="22"/>
      <c r="F470" s="22"/>
      <c r="G470" s="22"/>
      <c r="H470" s="22"/>
      <c r="I470" s="22"/>
      <c r="J470" s="22"/>
      <c r="K470" s="23"/>
      <c r="L470" s="34"/>
      <c r="N470" s="35">
        <f t="shared" si="14"/>
        <v>0</v>
      </c>
      <c r="O470" s="35">
        <f t="shared" si="15"/>
        <v>0</v>
      </c>
    </row>
    <row r="471" spans="1:15" s="9" customFormat="1" ht="18" x14ac:dyDescent="0.25">
      <c r="A471" s="69" t="str">
        <f>IF(LEN(B470)=0,"",CONCATENATE('Ficha de desembarque'!$J$18,"_",'Ficha de desembarque'!$J$20,"_",DAY('Ficha de desembarque'!$J$16),MONTH('Ficha de desembarque'!$J$16),YEAR('Ficha de desembarque'!$J$16)))</f>
        <v/>
      </c>
      <c r="B471" s="24"/>
      <c r="C471" s="24"/>
      <c r="D471" s="24"/>
      <c r="E471" s="24"/>
      <c r="F471" s="24"/>
      <c r="G471" s="24"/>
      <c r="H471" s="24"/>
      <c r="I471" s="24"/>
      <c r="J471" s="24"/>
      <c r="K471" s="25"/>
      <c r="L471" s="34"/>
      <c r="N471" s="35">
        <f t="shared" si="14"/>
        <v>0</v>
      </c>
      <c r="O471" s="35">
        <f t="shared" si="15"/>
        <v>0</v>
      </c>
    </row>
    <row r="472" spans="1:15" s="9" customFormat="1" ht="18" x14ac:dyDescent="0.25">
      <c r="A472" s="68" t="str">
        <f>IF(LEN(B471)=0,"",CONCATENATE('Ficha de desembarque'!$J$18,"_",'Ficha de desembarque'!$J$20,"_",DAY('Ficha de desembarque'!$J$16),MONTH('Ficha de desembarque'!$J$16),YEAR('Ficha de desembarque'!$J$16)))</f>
        <v/>
      </c>
      <c r="B472" s="22"/>
      <c r="C472" s="22"/>
      <c r="D472" s="22"/>
      <c r="E472" s="22"/>
      <c r="F472" s="22"/>
      <c r="G472" s="22"/>
      <c r="H472" s="22"/>
      <c r="I472" s="22"/>
      <c r="J472" s="22"/>
      <c r="K472" s="23"/>
      <c r="L472" s="34"/>
      <c r="N472" s="35">
        <f t="shared" si="14"/>
        <v>0</v>
      </c>
      <c r="O472" s="35">
        <f t="shared" si="15"/>
        <v>0</v>
      </c>
    </row>
    <row r="473" spans="1:15" s="9" customFormat="1" ht="18" x14ac:dyDescent="0.25">
      <c r="A473" s="69" t="str">
        <f>IF(LEN(B472)=0,"",CONCATENATE('Ficha de desembarque'!$J$18,"_",'Ficha de desembarque'!$J$20,"_",DAY('Ficha de desembarque'!$J$16),MONTH('Ficha de desembarque'!$J$16),YEAR('Ficha de desembarque'!$J$16)))</f>
        <v/>
      </c>
      <c r="B473" s="24"/>
      <c r="C473" s="24"/>
      <c r="D473" s="24"/>
      <c r="E473" s="24"/>
      <c r="F473" s="24"/>
      <c r="G473" s="24"/>
      <c r="H473" s="24"/>
      <c r="I473" s="24"/>
      <c r="J473" s="24"/>
      <c r="K473" s="25"/>
      <c r="L473" s="34"/>
      <c r="N473" s="35">
        <f t="shared" si="14"/>
        <v>0</v>
      </c>
      <c r="O473" s="35">
        <f t="shared" si="15"/>
        <v>0</v>
      </c>
    </row>
    <row r="474" spans="1:15" s="9" customFormat="1" ht="18" x14ac:dyDescent="0.25">
      <c r="A474" s="68" t="str">
        <f>IF(LEN(B473)=0,"",CONCATENATE('Ficha de desembarque'!$J$18,"_",'Ficha de desembarque'!$J$20,"_",DAY('Ficha de desembarque'!$J$16),MONTH('Ficha de desembarque'!$J$16),YEAR('Ficha de desembarque'!$J$16)))</f>
        <v/>
      </c>
      <c r="B474" s="22"/>
      <c r="C474" s="22"/>
      <c r="D474" s="22"/>
      <c r="E474" s="22"/>
      <c r="F474" s="22"/>
      <c r="G474" s="22"/>
      <c r="H474" s="22"/>
      <c r="I474" s="22"/>
      <c r="J474" s="22"/>
      <c r="K474" s="23"/>
      <c r="L474" s="34"/>
      <c r="N474" s="35">
        <f t="shared" si="14"/>
        <v>0</v>
      </c>
      <c r="O474" s="35">
        <f t="shared" si="15"/>
        <v>0</v>
      </c>
    </row>
    <row r="475" spans="1:15" s="9" customFormat="1" ht="18" x14ac:dyDescent="0.25">
      <c r="A475" s="69" t="str">
        <f>IF(LEN(B474)=0,"",CONCATENATE('Ficha de desembarque'!$J$18,"_",'Ficha de desembarque'!$J$20,"_",DAY('Ficha de desembarque'!$J$16),MONTH('Ficha de desembarque'!$J$16),YEAR('Ficha de desembarque'!$J$16)))</f>
        <v/>
      </c>
      <c r="B475" s="24"/>
      <c r="C475" s="24"/>
      <c r="D475" s="24"/>
      <c r="E475" s="24"/>
      <c r="F475" s="24"/>
      <c r="G475" s="24"/>
      <c r="H475" s="24"/>
      <c r="I475" s="24"/>
      <c r="J475" s="24"/>
      <c r="K475" s="25"/>
      <c r="L475" s="34"/>
      <c r="N475" s="35">
        <f t="shared" si="14"/>
        <v>0</v>
      </c>
      <c r="O475" s="35">
        <f t="shared" si="15"/>
        <v>0</v>
      </c>
    </row>
    <row r="476" spans="1:15" s="9" customFormat="1" ht="18" x14ac:dyDescent="0.25">
      <c r="A476" s="68" t="str">
        <f>IF(LEN(B475)=0,"",CONCATENATE('Ficha de desembarque'!$J$18,"_",'Ficha de desembarque'!$J$20,"_",DAY('Ficha de desembarque'!$J$16),MONTH('Ficha de desembarque'!$J$16),YEAR('Ficha de desembarque'!$J$16)))</f>
        <v/>
      </c>
      <c r="B476" s="22"/>
      <c r="C476" s="22"/>
      <c r="D476" s="22"/>
      <c r="E476" s="22"/>
      <c r="F476" s="22"/>
      <c r="G476" s="22"/>
      <c r="H476" s="22"/>
      <c r="I476" s="22"/>
      <c r="J476" s="22"/>
      <c r="K476" s="23"/>
      <c r="L476" s="34"/>
      <c r="N476" s="35">
        <f t="shared" si="14"/>
        <v>0</v>
      </c>
      <c r="O476" s="35">
        <f t="shared" si="15"/>
        <v>0</v>
      </c>
    </row>
    <row r="477" spans="1:15" s="9" customFormat="1" ht="18" x14ac:dyDescent="0.25">
      <c r="A477" s="69" t="str">
        <f>IF(LEN(B476)=0,"",CONCATENATE('Ficha de desembarque'!$J$18,"_",'Ficha de desembarque'!$J$20,"_",DAY('Ficha de desembarque'!$J$16),MONTH('Ficha de desembarque'!$J$16),YEAR('Ficha de desembarque'!$J$16)))</f>
        <v/>
      </c>
      <c r="B477" s="24"/>
      <c r="C477" s="24"/>
      <c r="D477" s="24"/>
      <c r="E477" s="24"/>
      <c r="F477" s="24"/>
      <c r="G477" s="24"/>
      <c r="H477" s="24"/>
      <c r="I477" s="24"/>
      <c r="J477" s="24"/>
      <c r="K477" s="25"/>
      <c r="L477" s="34"/>
      <c r="N477" s="35">
        <f t="shared" si="14"/>
        <v>0</v>
      </c>
      <c r="O477" s="35">
        <f t="shared" si="15"/>
        <v>0</v>
      </c>
    </row>
    <row r="478" spans="1:15" s="9" customFormat="1" ht="18" x14ac:dyDescent="0.25">
      <c r="A478" s="68" t="str">
        <f>IF(LEN(B477)=0,"",CONCATENATE('Ficha de desembarque'!$J$18,"_",'Ficha de desembarque'!$J$20,"_",DAY('Ficha de desembarque'!$J$16),MONTH('Ficha de desembarque'!$J$16),YEAR('Ficha de desembarque'!$J$16)))</f>
        <v/>
      </c>
      <c r="B478" s="22"/>
      <c r="C478" s="22"/>
      <c r="D478" s="22"/>
      <c r="E478" s="22"/>
      <c r="F478" s="22"/>
      <c r="G478" s="22"/>
      <c r="H478" s="22"/>
      <c r="I478" s="22"/>
      <c r="J478" s="22"/>
      <c r="K478" s="23"/>
      <c r="L478" s="34"/>
      <c r="N478" s="35">
        <f t="shared" si="14"/>
        <v>0</v>
      </c>
      <c r="O478" s="35">
        <f t="shared" si="15"/>
        <v>0</v>
      </c>
    </row>
    <row r="479" spans="1:15" s="9" customFormat="1" ht="18" x14ac:dyDescent="0.25">
      <c r="A479" s="69" t="str">
        <f>IF(LEN(B478)=0,"",CONCATENATE('Ficha de desembarque'!$J$18,"_",'Ficha de desembarque'!$J$20,"_",DAY('Ficha de desembarque'!$J$16),MONTH('Ficha de desembarque'!$J$16),YEAR('Ficha de desembarque'!$J$16)))</f>
        <v/>
      </c>
      <c r="B479" s="24"/>
      <c r="C479" s="24"/>
      <c r="D479" s="24"/>
      <c r="E479" s="24"/>
      <c r="F479" s="24"/>
      <c r="G479" s="24"/>
      <c r="H479" s="24"/>
      <c r="I479" s="24"/>
      <c r="J479" s="24"/>
      <c r="K479" s="25"/>
      <c r="L479" s="34"/>
      <c r="N479" s="35">
        <f t="shared" si="14"/>
        <v>0</v>
      </c>
      <c r="O479" s="35">
        <f t="shared" si="15"/>
        <v>0</v>
      </c>
    </row>
    <row r="480" spans="1:15" s="9" customFormat="1" ht="18" x14ac:dyDescent="0.25">
      <c r="A480" s="68" t="str">
        <f>IF(LEN(B479)=0,"",CONCATENATE('Ficha de desembarque'!$J$18,"_",'Ficha de desembarque'!$J$20,"_",DAY('Ficha de desembarque'!$J$16),MONTH('Ficha de desembarque'!$J$16),YEAR('Ficha de desembarque'!$J$16)))</f>
        <v/>
      </c>
      <c r="B480" s="22"/>
      <c r="C480" s="22"/>
      <c r="D480" s="22"/>
      <c r="E480" s="22"/>
      <c r="F480" s="22"/>
      <c r="G480" s="22"/>
      <c r="H480" s="22"/>
      <c r="I480" s="22"/>
      <c r="J480" s="22"/>
      <c r="K480" s="23"/>
      <c r="L480" s="34"/>
      <c r="N480" s="35">
        <f t="shared" si="14"/>
        <v>0</v>
      </c>
      <c r="O480" s="35">
        <f t="shared" si="15"/>
        <v>0</v>
      </c>
    </row>
    <row r="481" spans="1:15" s="9" customFormat="1" ht="18" x14ac:dyDescent="0.25">
      <c r="A481" s="69" t="str">
        <f>IF(LEN(B480)=0,"",CONCATENATE('Ficha de desembarque'!$J$18,"_",'Ficha de desembarque'!$J$20,"_",DAY('Ficha de desembarque'!$J$16),MONTH('Ficha de desembarque'!$J$16),YEAR('Ficha de desembarque'!$J$16)))</f>
        <v/>
      </c>
      <c r="B481" s="24"/>
      <c r="C481" s="24"/>
      <c r="D481" s="24"/>
      <c r="E481" s="24"/>
      <c r="F481" s="24"/>
      <c r="G481" s="24"/>
      <c r="H481" s="24"/>
      <c r="I481" s="24"/>
      <c r="J481" s="24"/>
      <c r="K481" s="25"/>
      <c r="L481" s="34"/>
      <c r="N481" s="35">
        <f t="shared" si="14"/>
        <v>0</v>
      </c>
      <c r="O481" s="35">
        <f t="shared" si="15"/>
        <v>0</v>
      </c>
    </row>
    <row r="482" spans="1:15" s="9" customFormat="1" ht="18" x14ac:dyDescent="0.25">
      <c r="A482" s="68" t="str">
        <f>IF(LEN(B481)=0,"",CONCATENATE('Ficha de desembarque'!$J$18,"_",'Ficha de desembarque'!$J$20,"_",DAY('Ficha de desembarque'!$J$16),MONTH('Ficha de desembarque'!$J$16),YEAR('Ficha de desembarque'!$J$16)))</f>
        <v/>
      </c>
      <c r="B482" s="22"/>
      <c r="C482" s="22"/>
      <c r="D482" s="22"/>
      <c r="E482" s="22"/>
      <c r="F482" s="22"/>
      <c r="G482" s="22"/>
      <c r="H482" s="22"/>
      <c r="I482" s="22"/>
      <c r="J482" s="22"/>
      <c r="K482" s="23"/>
      <c r="L482" s="34"/>
      <c r="N482" s="35">
        <f t="shared" si="14"/>
        <v>0</v>
      </c>
      <c r="O482" s="35">
        <f t="shared" si="15"/>
        <v>0</v>
      </c>
    </row>
    <row r="483" spans="1:15" s="9" customFormat="1" ht="18" x14ac:dyDescent="0.25">
      <c r="A483" s="69" t="str">
        <f>IF(LEN(B482)=0,"",CONCATENATE('Ficha de desembarque'!$J$18,"_",'Ficha de desembarque'!$J$20,"_",DAY('Ficha de desembarque'!$J$16),MONTH('Ficha de desembarque'!$J$16),YEAR('Ficha de desembarque'!$J$16)))</f>
        <v/>
      </c>
      <c r="B483" s="24"/>
      <c r="C483" s="24"/>
      <c r="D483" s="24"/>
      <c r="E483" s="24"/>
      <c r="F483" s="24"/>
      <c r="G483" s="24"/>
      <c r="H483" s="24"/>
      <c r="I483" s="24"/>
      <c r="J483" s="24"/>
      <c r="K483" s="25"/>
      <c r="L483" s="34"/>
      <c r="N483" s="35">
        <f t="shared" si="14"/>
        <v>0</v>
      </c>
      <c r="O483" s="35">
        <f t="shared" si="15"/>
        <v>0</v>
      </c>
    </row>
    <row r="484" spans="1:15" s="9" customFormat="1" ht="18" x14ac:dyDescent="0.25">
      <c r="A484" s="68" t="str">
        <f>IF(LEN(B483)=0,"",CONCATENATE('Ficha de desembarque'!$J$18,"_",'Ficha de desembarque'!$J$20,"_",DAY('Ficha de desembarque'!$J$16),MONTH('Ficha de desembarque'!$J$16),YEAR('Ficha de desembarque'!$J$16)))</f>
        <v/>
      </c>
      <c r="B484" s="22"/>
      <c r="C484" s="22"/>
      <c r="D484" s="22"/>
      <c r="E484" s="22"/>
      <c r="F484" s="22"/>
      <c r="G484" s="22"/>
      <c r="H484" s="22"/>
      <c r="I484" s="22"/>
      <c r="J484" s="22"/>
      <c r="K484" s="23"/>
      <c r="L484" s="34"/>
      <c r="N484" s="35">
        <f t="shared" si="14"/>
        <v>0</v>
      </c>
      <c r="O484" s="35">
        <f t="shared" si="15"/>
        <v>0</v>
      </c>
    </row>
    <row r="485" spans="1:15" s="9" customFormat="1" ht="18" x14ac:dyDescent="0.25">
      <c r="A485" s="69" t="str">
        <f>IF(LEN(B484)=0,"",CONCATENATE('Ficha de desembarque'!$J$18,"_",'Ficha de desembarque'!$J$20,"_",DAY('Ficha de desembarque'!$J$16),MONTH('Ficha de desembarque'!$J$16),YEAR('Ficha de desembarque'!$J$16)))</f>
        <v/>
      </c>
      <c r="B485" s="24"/>
      <c r="C485" s="24"/>
      <c r="D485" s="24"/>
      <c r="E485" s="24"/>
      <c r="F485" s="24"/>
      <c r="G485" s="24"/>
      <c r="H485" s="24"/>
      <c r="I485" s="24"/>
      <c r="J485" s="24"/>
      <c r="K485" s="25"/>
      <c r="L485" s="34"/>
      <c r="N485" s="35">
        <f t="shared" si="14"/>
        <v>0</v>
      </c>
      <c r="O485" s="35">
        <f t="shared" si="15"/>
        <v>0</v>
      </c>
    </row>
    <row r="486" spans="1:15" s="9" customFormat="1" ht="18" x14ac:dyDescent="0.25">
      <c r="A486" s="68" t="str">
        <f>IF(LEN(B485)=0,"",CONCATENATE('Ficha de desembarque'!$J$18,"_",'Ficha de desembarque'!$J$20,"_",DAY('Ficha de desembarque'!$J$16),MONTH('Ficha de desembarque'!$J$16),YEAR('Ficha de desembarque'!$J$16)))</f>
        <v/>
      </c>
      <c r="B486" s="22"/>
      <c r="C486" s="22"/>
      <c r="D486" s="22"/>
      <c r="E486" s="22"/>
      <c r="F486" s="22"/>
      <c r="G486" s="22"/>
      <c r="H486" s="22"/>
      <c r="I486" s="22"/>
      <c r="J486" s="22"/>
      <c r="K486" s="23"/>
      <c r="L486" s="34"/>
      <c r="N486" s="35">
        <f t="shared" si="14"/>
        <v>0</v>
      </c>
      <c r="O486" s="35">
        <f t="shared" si="15"/>
        <v>0</v>
      </c>
    </row>
    <row r="487" spans="1:15" s="9" customFormat="1" ht="18" x14ac:dyDescent="0.25">
      <c r="A487" s="69" t="str">
        <f>IF(LEN(B486)=0,"",CONCATENATE('Ficha de desembarque'!$J$18,"_",'Ficha de desembarque'!$J$20,"_",DAY('Ficha de desembarque'!$J$16),MONTH('Ficha de desembarque'!$J$16),YEAR('Ficha de desembarque'!$J$16)))</f>
        <v/>
      </c>
      <c r="B487" s="24"/>
      <c r="C487" s="24"/>
      <c r="D487" s="24"/>
      <c r="E487" s="24"/>
      <c r="F487" s="24"/>
      <c r="G487" s="24"/>
      <c r="H487" s="24"/>
      <c r="I487" s="24"/>
      <c r="J487" s="24"/>
      <c r="K487" s="25"/>
      <c r="L487" s="34"/>
      <c r="N487" s="35">
        <f t="shared" si="14"/>
        <v>0</v>
      </c>
      <c r="O487" s="35">
        <f t="shared" si="15"/>
        <v>0</v>
      </c>
    </row>
    <row r="488" spans="1:15" s="9" customFormat="1" ht="18" x14ac:dyDescent="0.25">
      <c r="A488" s="68" t="str">
        <f>IF(LEN(B487)=0,"",CONCATENATE('Ficha de desembarque'!$J$18,"_",'Ficha de desembarque'!$J$20,"_",DAY('Ficha de desembarque'!$J$16),MONTH('Ficha de desembarque'!$J$16),YEAR('Ficha de desembarque'!$J$16)))</f>
        <v/>
      </c>
      <c r="B488" s="22"/>
      <c r="C488" s="22"/>
      <c r="D488" s="22"/>
      <c r="E488" s="22"/>
      <c r="F488" s="22"/>
      <c r="G488" s="22"/>
      <c r="H488" s="22"/>
      <c r="I488" s="22"/>
      <c r="J488" s="22"/>
      <c r="K488" s="23"/>
      <c r="L488" s="34"/>
      <c r="N488" s="35">
        <f t="shared" si="14"/>
        <v>0</v>
      </c>
      <c r="O488" s="35">
        <f t="shared" si="15"/>
        <v>0</v>
      </c>
    </row>
    <row r="489" spans="1:15" s="9" customFormat="1" ht="18" x14ac:dyDescent="0.25">
      <c r="A489" s="69" t="str">
        <f>IF(LEN(B488)=0,"",CONCATENATE('Ficha de desembarque'!$J$18,"_",'Ficha de desembarque'!$J$20,"_",DAY('Ficha de desembarque'!$J$16),MONTH('Ficha de desembarque'!$J$16),YEAR('Ficha de desembarque'!$J$16)))</f>
        <v/>
      </c>
      <c r="B489" s="24"/>
      <c r="C489" s="24"/>
      <c r="D489" s="24"/>
      <c r="E489" s="24"/>
      <c r="F489" s="24"/>
      <c r="G489" s="24"/>
      <c r="H489" s="24"/>
      <c r="I489" s="24"/>
      <c r="J489" s="24"/>
      <c r="K489" s="25"/>
      <c r="L489" s="34"/>
      <c r="N489" s="35">
        <f t="shared" si="14"/>
        <v>0</v>
      </c>
      <c r="O489" s="35">
        <f t="shared" si="15"/>
        <v>0</v>
      </c>
    </row>
    <row r="490" spans="1:15" s="9" customFormat="1" ht="18" x14ac:dyDescent="0.25">
      <c r="A490" s="68" t="str">
        <f>IF(LEN(B489)=0,"",CONCATENATE('Ficha de desembarque'!$J$18,"_",'Ficha de desembarque'!$J$20,"_",DAY('Ficha de desembarque'!$J$16),MONTH('Ficha de desembarque'!$J$16),YEAR('Ficha de desembarque'!$J$16)))</f>
        <v/>
      </c>
      <c r="B490" s="22"/>
      <c r="C490" s="22"/>
      <c r="D490" s="22"/>
      <c r="E490" s="22"/>
      <c r="F490" s="22"/>
      <c r="G490" s="22"/>
      <c r="H490" s="22"/>
      <c r="I490" s="22"/>
      <c r="J490" s="22"/>
      <c r="K490" s="23"/>
      <c r="L490" s="34"/>
      <c r="N490" s="35">
        <f t="shared" si="14"/>
        <v>0</v>
      </c>
      <c r="O490" s="35">
        <f t="shared" si="15"/>
        <v>0</v>
      </c>
    </row>
    <row r="491" spans="1:15" s="9" customFormat="1" ht="18" x14ac:dyDescent="0.25">
      <c r="A491" s="69" t="str">
        <f>IF(LEN(B490)=0,"",CONCATENATE('Ficha de desembarque'!$J$18,"_",'Ficha de desembarque'!$J$20,"_",DAY('Ficha de desembarque'!$J$16),MONTH('Ficha de desembarque'!$J$16),YEAR('Ficha de desembarque'!$J$16)))</f>
        <v/>
      </c>
      <c r="B491" s="24"/>
      <c r="C491" s="24"/>
      <c r="D491" s="24"/>
      <c r="E491" s="24"/>
      <c r="F491" s="24"/>
      <c r="G491" s="24"/>
      <c r="H491" s="24"/>
      <c r="I491" s="24"/>
      <c r="J491" s="24"/>
      <c r="K491" s="25"/>
      <c r="L491" s="34"/>
      <c r="N491" s="35">
        <f t="shared" si="14"/>
        <v>0</v>
      </c>
      <c r="O491" s="35">
        <f t="shared" si="15"/>
        <v>0</v>
      </c>
    </row>
    <row r="492" spans="1:15" s="9" customFormat="1" ht="18" x14ac:dyDescent="0.25">
      <c r="A492" s="68" t="str">
        <f>IF(LEN(B491)=0,"",CONCATENATE('Ficha de desembarque'!$J$18,"_",'Ficha de desembarque'!$J$20,"_",DAY('Ficha de desembarque'!$J$16),MONTH('Ficha de desembarque'!$J$16),YEAR('Ficha de desembarque'!$J$16)))</f>
        <v/>
      </c>
      <c r="B492" s="22"/>
      <c r="C492" s="22"/>
      <c r="D492" s="22"/>
      <c r="E492" s="22"/>
      <c r="F492" s="22"/>
      <c r="G492" s="22"/>
      <c r="H492" s="22"/>
      <c r="I492" s="22"/>
      <c r="J492" s="22"/>
      <c r="K492" s="23"/>
      <c r="L492" s="34"/>
      <c r="N492" s="35">
        <f t="shared" si="14"/>
        <v>0</v>
      </c>
      <c r="O492" s="35">
        <f t="shared" si="15"/>
        <v>0</v>
      </c>
    </row>
    <row r="493" spans="1:15" s="9" customFormat="1" ht="18" x14ac:dyDescent="0.25">
      <c r="A493" s="69" t="str">
        <f>IF(LEN(B492)=0,"",CONCATENATE('Ficha de desembarque'!$J$18,"_",'Ficha de desembarque'!$J$20,"_",DAY('Ficha de desembarque'!$J$16),MONTH('Ficha de desembarque'!$J$16),YEAR('Ficha de desembarque'!$J$16)))</f>
        <v/>
      </c>
      <c r="B493" s="24"/>
      <c r="C493" s="24"/>
      <c r="D493" s="24"/>
      <c r="E493" s="24"/>
      <c r="F493" s="24"/>
      <c r="G493" s="24"/>
      <c r="H493" s="24"/>
      <c r="I493" s="24"/>
      <c r="J493" s="24"/>
      <c r="K493" s="25"/>
      <c r="L493" s="34"/>
      <c r="N493" s="35">
        <f t="shared" si="14"/>
        <v>0</v>
      </c>
      <c r="O493" s="35">
        <f t="shared" si="15"/>
        <v>0</v>
      </c>
    </row>
    <row r="494" spans="1:15" s="9" customFormat="1" ht="18" x14ac:dyDescent="0.25">
      <c r="A494" s="68" t="str">
        <f>IF(LEN(B493)=0,"",CONCATENATE('Ficha de desembarque'!$J$18,"_",'Ficha de desembarque'!$J$20,"_",DAY('Ficha de desembarque'!$J$16),MONTH('Ficha de desembarque'!$J$16),YEAR('Ficha de desembarque'!$J$16)))</f>
        <v/>
      </c>
      <c r="B494" s="22"/>
      <c r="C494" s="22"/>
      <c r="D494" s="22"/>
      <c r="E494" s="22"/>
      <c r="F494" s="22"/>
      <c r="G494" s="22"/>
      <c r="H494" s="22"/>
      <c r="I494" s="22"/>
      <c r="J494" s="22"/>
      <c r="K494" s="23"/>
      <c r="L494" s="34"/>
      <c r="N494" s="35">
        <f t="shared" si="14"/>
        <v>0</v>
      </c>
      <c r="O494" s="35">
        <f t="shared" si="15"/>
        <v>0</v>
      </c>
    </row>
    <row r="495" spans="1:15" s="9" customFormat="1" ht="18" x14ac:dyDescent="0.25">
      <c r="A495" s="69" t="str">
        <f>IF(LEN(B494)=0,"",CONCATENATE('Ficha de desembarque'!$J$18,"_",'Ficha de desembarque'!$J$20,"_",DAY('Ficha de desembarque'!$J$16),MONTH('Ficha de desembarque'!$J$16),YEAR('Ficha de desembarque'!$J$16)))</f>
        <v/>
      </c>
      <c r="B495" s="24"/>
      <c r="C495" s="24"/>
      <c r="D495" s="24"/>
      <c r="E495" s="24"/>
      <c r="F495" s="24"/>
      <c r="G495" s="24"/>
      <c r="H495" s="24"/>
      <c r="I495" s="24"/>
      <c r="J495" s="24"/>
      <c r="K495" s="25"/>
      <c r="L495" s="34"/>
      <c r="N495" s="35">
        <f t="shared" si="14"/>
        <v>0</v>
      </c>
      <c r="O495" s="35">
        <f t="shared" si="15"/>
        <v>0</v>
      </c>
    </row>
    <row r="496" spans="1:15" s="9" customFormat="1" ht="18" x14ac:dyDescent="0.25">
      <c r="A496" s="68" t="str">
        <f>IF(LEN(B495)=0,"",CONCATENATE('Ficha de desembarque'!$J$18,"_",'Ficha de desembarque'!$J$20,"_",DAY('Ficha de desembarque'!$J$16),MONTH('Ficha de desembarque'!$J$16),YEAR('Ficha de desembarque'!$J$16)))</f>
        <v/>
      </c>
      <c r="B496" s="22"/>
      <c r="C496" s="22"/>
      <c r="D496" s="22"/>
      <c r="E496" s="22"/>
      <c r="F496" s="22"/>
      <c r="G496" s="22"/>
      <c r="H496" s="22"/>
      <c r="I496" s="22"/>
      <c r="J496" s="22"/>
      <c r="K496" s="23"/>
      <c r="L496" s="34"/>
      <c r="N496" s="35">
        <f t="shared" si="14"/>
        <v>0</v>
      </c>
      <c r="O496" s="35">
        <f t="shared" si="15"/>
        <v>0</v>
      </c>
    </row>
    <row r="497" spans="1:15" s="9" customFormat="1" ht="18" x14ac:dyDescent="0.25">
      <c r="A497" s="69" t="str">
        <f>IF(LEN(B496)=0,"",CONCATENATE('Ficha de desembarque'!$J$18,"_",'Ficha de desembarque'!$J$20,"_",DAY('Ficha de desembarque'!$J$16),MONTH('Ficha de desembarque'!$J$16),YEAR('Ficha de desembarque'!$J$16)))</f>
        <v/>
      </c>
      <c r="B497" s="24"/>
      <c r="C497" s="24"/>
      <c r="D497" s="24"/>
      <c r="E497" s="24"/>
      <c r="F497" s="24"/>
      <c r="G497" s="24"/>
      <c r="H497" s="24"/>
      <c r="I497" s="24"/>
      <c r="J497" s="24"/>
      <c r="K497" s="25"/>
      <c r="L497" s="34"/>
      <c r="N497" s="35">
        <f t="shared" si="14"/>
        <v>0</v>
      </c>
      <c r="O497" s="35">
        <f t="shared" si="15"/>
        <v>0</v>
      </c>
    </row>
    <row r="498" spans="1:15" s="9" customFormat="1" ht="18" x14ac:dyDescent="0.25">
      <c r="A498" s="68" t="str">
        <f>IF(LEN(B497)=0,"",CONCATENATE('Ficha de desembarque'!$J$18,"_",'Ficha de desembarque'!$J$20,"_",DAY('Ficha de desembarque'!$J$16),MONTH('Ficha de desembarque'!$J$16),YEAR('Ficha de desembarque'!$J$16)))</f>
        <v/>
      </c>
      <c r="B498" s="22"/>
      <c r="C498" s="22"/>
      <c r="D498" s="22"/>
      <c r="E498" s="22"/>
      <c r="F498" s="22"/>
      <c r="G498" s="22"/>
      <c r="H498" s="22"/>
      <c r="I498" s="22"/>
      <c r="J498" s="22"/>
      <c r="K498" s="23"/>
      <c r="L498" s="34"/>
      <c r="N498" s="35">
        <f t="shared" si="14"/>
        <v>0</v>
      </c>
      <c r="O498" s="35">
        <f t="shared" si="15"/>
        <v>0</v>
      </c>
    </row>
    <row r="499" spans="1:15" s="9" customFormat="1" ht="18" x14ac:dyDescent="0.25">
      <c r="A499" s="69" t="str">
        <f>IF(LEN(B498)=0,"",CONCATENATE('Ficha de desembarque'!$J$18,"_",'Ficha de desembarque'!$J$20,"_",DAY('Ficha de desembarque'!$J$16),MONTH('Ficha de desembarque'!$J$16),YEAR('Ficha de desembarque'!$J$16)))</f>
        <v/>
      </c>
      <c r="B499" s="24"/>
      <c r="C499" s="24"/>
      <c r="D499" s="24"/>
      <c r="E499" s="24"/>
      <c r="F499" s="24"/>
      <c r="G499" s="24"/>
      <c r="H499" s="24"/>
      <c r="I499" s="24"/>
      <c r="J499" s="24"/>
      <c r="K499" s="25"/>
      <c r="L499" s="34"/>
      <c r="N499" s="35">
        <f t="shared" si="14"/>
        <v>0</v>
      </c>
      <c r="O499" s="35">
        <f t="shared" si="15"/>
        <v>0</v>
      </c>
    </row>
    <row r="500" spans="1:15" s="9" customFormat="1" ht="18" x14ac:dyDescent="0.25">
      <c r="A500" s="68" t="str">
        <f>IF(LEN(B499)=0,"",CONCATENATE('Ficha de desembarque'!$J$18,"_",'Ficha de desembarque'!$J$20,"_",DAY('Ficha de desembarque'!$J$16),MONTH('Ficha de desembarque'!$J$16),YEAR('Ficha de desembarque'!$J$16)))</f>
        <v/>
      </c>
      <c r="B500" s="22"/>
      <c r="C500" s="22"/>
      <c r="D500" s="22"/>
      <c r="E500" s="22"/>
      <c r="F500" s="22"/>
      <c r="G500" s="22"/>
      <c r="H500" s="22"/>
      <c r="I500" s="22"/>
      <c r="J500" s="22"/>
      <c r="K500" s="23"/>
      <c r="L500" s="34"/>
      <c r="N500" s="35">
        <f t="shared" si="14"/>
        <v>0</v>
      </c>
      <c r="O500" s="35">
        <f t="shared" si="15"/>
        <v>0</v>
      </c>
    </row>
    <row r="501" spans="1:15" s="9" customFormat="1" ht="18" x14ac:dyDescent="0.25">
      <c r="A501" s="69" t="str">
        <f>IF(LEN(B500)=0,"",CONCATENATE('Ficha de desembarque'!$J$18,"_",'Ficha de desembarque'!$J$20,"_",DAY('Ficha de desembarque'!$J$16),MONTH('Ficha de desembarque'!$J$16),YEAR('Ficha de desembarque'!$J$16)))</f>
        <v/>
      </c>
      <c r="B501" s="24"/>
      <c r="C501" s="24"/>
      <c r="D501" s="24"/>
      <c r="E501" s="24"/>
      <c r="F501" s="24"/>
      <c r="G501" s="24"/>
      <c r="H501" s="24"/>
      <c r="I501" s="24"/>
      <c r="J501" s="24"/>
      <c r="K501" s="25"/>
      <c r="L501" s="34"/>
      <c r="N501" s="35">
        <f t="shared" si="14"/>
        <v>0</v>
      </c>
      <c r="O501" s="35">
        <f t="shared" si="15"/>
        <v>0</v>
      </c>
    </row>
    <row r="502" spans="1:15" s="9" customFormat="1" ht="18" x14ac:dyDescent="0.25">
      <c r="A502" s="68" t="str">
        <f>IF(LEN(B501)=0,"",CONCATENATE('Ficha de desembarque'!$J$18,"_",'Ficha de desembarque'!$J$20,"_",DAY('Ficha de desembarque'!$J$16),MONTH('Ficha de desembarque'!$J$16),YEAR('Ficha de desembarque'!$J$16)))</f>
        <v/>
      </c>
      <c r="B502" s="22"/>
      <c r="C502" s="22"/>
      <c r="D502" s="22"/>
      <c r="E502" s="22"/>
      <c r="F502" s="22"/>
      <c r="G502" s="22"/>
      <c r="H502" s="22"/>
      <c r="I502" s="22"/>
      <c r="J502" s="22"/>
      <c r="K502" s="23"/>
      <c r="L502" s="34"/>
      <c r="N502" s="35">
        <f t="shared" si="14"/>
        <v>0</v>
      </c>
      <c r="O502" s="35">
        <f t="shared" si="15"/>
        <v>0</v>
      </c>
    </row>
    <row r="503" spans="1:15" s="9" customFormat="1" ht="18" x14ac:dyDescent="0.25">
      <c r="A503" s="69" t="str">
        <f>IF(LEN(B502)=0,"",CONCATENATE('Ficha de desembarque'!$J$18,"_",'Ficha de desembarque'!$J$20,"_",DAY('Ficha de desembarque'!$J$16),MONTH('Ficha de desembarque'!$J$16),YEAR('Ficha de desembarque'!$J$16)))</f>
        <v/>
      </c>
      <c r="B503" s="24"/>
      <c r="C503" s="24"/>
      <c r="D503" s="24"/>
      <c r="E503" s="24"/>
      <c r="F503" s="24"/>
      <c r="G503" s="24"/>
      <c r="H503" s="24"/>
      <c r="I503" s="24"/>
      <c r="J503" s="24"/>
      <c r="K503" s="25"/>
      <c r="L503" s="34"/>
      <c r="N503" s="35">
        <f t="shared" si="14"/>
        <v>0</v>
      </c>
      <c r="O503" s="35">
        <f t="shared" si="15"/>
        <v>0</v>
      </c>
    </row>
    <row r="504" spans="1:15" s="9" customFormat="1" ht="18" x14ac:dyDescent="0.25">
      <c r="A504" s="68" t="str">
        <f>IF(LEN(B503)=0,"",CONCATENATE('Ficha de desembarque'!$J$18,"_",'Ficha de desembarque'!$J$20,"_",DAY('Ficha de desembarque'!$J$16),MONTH('Ficha de desembarque'!$J$16),YEAR('Ficha de desembarque'!$J$16)))</f>
        <v/>
      </c>
      <c r="B504" s="22"/>
      <c r="C504" s="22"/>
      <c r="D504" s="22"/>
      <c r="E504" s="22"/>
      <c r="F504" s="22"/>
      <c r="G504" s="22"/>
      <c r="H504" s="22"/>
      <c r="I504" s="22"/>
      <c r="J504" s="22"/>
      <c r="K504" s="23"/>
      <c r="L504" s="34"/>
      <c r="N504" s="35">
        <f t="shared" si="14"/>
        <v>0</v>
      </c>
      <c r="O504" s="35">
        <f t="shared" si="15"/>
        <v>0</v>
      </c>
    </row>
    <row r="505" spans="1:15" s="9" customFormat="1" ht="18" x14ac:dyDescent="0.25">
      <c r="A505" s="69" t="str">
        <f>IF(LEN(B504)=0,"",CONCATENATE('Ficha de desembarque'!$J$18,"_",'Ficha de desembarque'!$J$20,"_",DAY('Ficha de desembarque'!$J$16),MONTH('Ficha de desembarque'!$J$16),YEAR('Ficha de desembarque'!$J$16)))</f>
        <v/>
      </c>
      <c r="B505" s="24"/>
      <c r="C505" s="24"/>
      <c r="D505" s="24"/>
      <c r="E505" s="24"/>
      <c r="F505" s="24"/>
      <c r="G505" s="24"/>
      <c r="H505" s="24"/>
      <c r="I505" s="24"/>
      <c r="J505" s="24"/>
      <c r="K505" s="25"/>
      <c r="L505" s="34"/>
      <c r="N505" s="35">
        <f t="shared" si="14"/>
        <v>0</v>
      </c>
      <c r="O505" s="35">
        <f t="shared" si="15"/>
        <v>0</v>
      </c>
    </row>
    <row r="506" spans="1:15" s="9" customFormat="1" ht="18" x14ac:dyDescent="0.25">
      <c r="A506" s="68" t="str">
        <f>IF(LEN(B505)=0,"",CONCATENATE('Ficha de desembarque'!$J$18,"_",'Ficha de desembarque'!$J$20,"_",DAY('Ficha de desembarque'!$J$16),MONTH('Ficha de desembarque'!$J$16),YEAR('Ficha de desembarque'!$J$16)))</f>
        <v/>
      </c>
      <c r="B506" s="22"/>
      <c r="C506" s="22"/>
      <c r="D506" s="22"/>
      <c r="E506" s="22"/>
      <c r="F506" s="22"/>
      <c r="G506" s="22"/>
      <c r="H506" s="22"/>
      <c r="I506" s="22"/>
      <c r="J506" s="22"/>
      <c r="K506" s="23"/>
      <c r="L506" s="34"/>
      <c r="N506" s="35">
        <f t="shared" si="14"/>
        <v>0</v>
      </c>
      <c r="O506" s="35">
        <f t="shared" si="15"/>
        <v>0</v>
      </c>
    </row>
    <row r="507" spans="1:15" s="9" customFormat="1" ht="18" x14ac:dyDescent="0.25">
      <c r="A507" s="69" t="str">
        <f>IF(LEN(B506)=0,"",CONCATENATE('Ficha de desembarque'!$J$18,"_",'Ficha de desembarque'!$J$20,"_",DAY('Ficha de desembarque'!$J$16),MONTH('Ficha de desembarque'!$J$16),YEAR('Ficha de desembarque'!$J$16)))</f>
        <v/>
      </c>
      <c r="B507" s="24"/>
      <c r="C507" s="24"/>
      <c r="D507" s="24"/>
      <c r="E507" s="24"/>
      <c r="F507" s="24"/>
      <c r="G507" s="24"/>
      <c r="H507" s="24"/>
      <c r="I507" s="24"/>
      <c r="J507" s="24"/>
      <c r="K507" s="25"/>
      <c r="L507" s="34"/>
      <c r="N507" s="35">
        <f t="shared" si="14"/>
        <v>0</v>
      </c>
      <c r="O507" s="35">
        <f t="shared" si="15"/>
        <v>0</v>
      </c>
    </row>
    <row r="508" spans="1:15" s="9" customFormat="1" ht="18" x14ac:dyDescent="0.25">
      <c r="A508" s="68" t="str">
        <f>IF(LEN(B507)=0,"",CONCATENATE('Ficha de desembarque'!$J$18,"_",'Ficha de desembarque'!$J$20,"_",DAY('Ficha de desembarque'!$J$16),MONTH('Ficha de desembarque'!$J$16),YEAR('Ficha de desembarque'!$J$16)))</f>
        <v/>
      </c>
      <c r="B508" s="22"/>
      <c r="C508" s="22"/>
      <c r="D508" s="22"/>
      <c r="E508" s="22"/>
      <c r="F508" s="22"/>
      <c r="G508" s="22"/>
      <c r="H508" s="22"/>
      <c r="I508" s="22"/>
      <c r="J508" s="22"/>
      <c r="K508" s="23"/>
      <c r="L508" s="34"/>
      <c r="N508" s="35">
        <f t="shared" si="14"/>
        <v>0</v>
      </c>
      <c r="O508" s="35">
        <f t="shared" si="15"/>
        <v>0</v>
      </c>
    </row>
    <row r="509" spans="1:15" s="9" customFormat="1" ht="18" x14ac:dyDescent="0.25">
      <c r="A509" s="69" t="str">
        <f>IF(LEN(B508)=0,"",CONCATENATE('Ficha de desembarque'!$J$18,"_",'Ficha de desembarque'!$J$20,"_",DAY('Ficha de desembarque'!$J$16),MONTH('Ficha de desembarque'!$J$16),YEAR('Ficha de desembarque'!$J$16)))</f>
        <v/>
      </c>
      <c r="B509" s="24"/>
      <c r="C509" s="24"/>
      <c r="D509" s="24"/>
      <c r="E509" s="24"/>
      <c r="F509" s="24"/>
      <c r="G509" s="24"/>
      <c r="H509" s="24"/>
      <c r="I509" s="24"/>
      <c r="J509" s="24"/>
      <c r="K509" s="25"/>
      <c r="L509" s="34"/>
      <c r="N509" s="35">
        <f t="shared" si="14"/>
        <v>0</v>
      </c>
      <c r="O509" s="35">
        <f t="shared" si="15"/>
        <v>0</v>
      </c>
    </row>
    <row r="510" spans="1:15" s="9" customFormat="1" ht="18" x14ac:dyDescent="0.25">
      <c r="A510" s="68" t="str">
        <f>IF(LEN(B509)=0,"",CONCATENATE('Ficha de desembarque'!$J$18,"_",'Ficha de desembarque'!$J$20,"_",DAY('Ficha de desembarque'!$J$16),MONTH('Ficha de desembarque'!$J$16),YEAR('Ficha de desembarque'!$J$16)))</f>
        <v/>
      </c>
      <c r="B510" s="22"/>
      <c r="C510" s="22"/>
      <c r="D510" s="22"/>
      <c r="E510" s="22"/>
      <c r="F510" s="22"/>
      <c r="G510" s="22"/>
      <c r="H510" s="22"/>
      <c r="I510" s="22"/>
      <c r="J510" s="22"/>
      <c r="K510" s="23"/>
      <c r="L510" s="34"/>
      <c r="N510" s="35">
        <f t="shared" si="14"/>
        <v>0</v>
      </c>
      <c r="O510" s="35">
        <f t="shared" si="15"/>
        <v>0</v>
      </c>
    </row>
    <row r="511" spans="1:15" s="9" customFormat="1" ht="18.75" thickBot="1" x14ac:dyDescent="0.3">
      <c r="A511" s="70" t="str">
        <f>IF(LEN(B510)=0,"",CONCATENATE('Ficha de desembarque'!$J$18,"_",'Ficha de desembarque'!$J$20,"_",DAY('Ficha de desembarque'!$J$16),MONTH('Ficha de desembarque'!$J$16),YEAR('Ficha de desembarque'!$J$16)))</f>
        <v/>
      </c>
      <c r="B511" s="26"/>
      <c r="C511" s="26"/>
      <c r="D511" s="26"/>
      <c r="E511" s="26"/>
      <c r="F511" s="26"/>
      <c r="G511" s="26"/>
      <c r="H511" s="26"/>
      <c r="I511" s="26"/>
      <c r="J511" s="26"/>
      <c r="K511" s="27"/>
      <c r="L511" s="34"/>
      <c r="N511" s="35">
        <f t="shared" si="14"/>
        <v>0</v>
      </c>
      <c r="O511" s="35">
        <f t="shared" si="15"/>
        <v>0</v>
      </c>
    </row>
    <row r="512" spans="1:15" s="9" customFormat="1" ht="18" x14ac:dyDescent="0.25">
      <c r="A512" s="36" t="str">
        <f>IF(LEN(B511)=0,"",CONCATENATE('Ficha de desembarque'!$J$18,"_",'Ficha de desembarque'!$J$20,"_",DAY('Ficha de desembarque'!$J$16),MONTH('Ficha de desembarque'!$J$16),YEAR('Ficha de desembarque'!$J$16)))</f>
        <v/>
      </c>
      <c r="B512" s="9" t="s">
        <v>744</v>
      </c>
      <c r="C512" s="9" t="s">
        <v>744</v>
      </c>
      <c r="D512" s="9" t="s">
        <v>744</v>
      </c>
      <c r="E512" s="9" t="s">
        <v>744</v>
      </c>
      <c r="F512" s="9" t="s">
        <v>744</v>
      </c>
      <c r="G512" s="9" t="s">
        <v>744</v>
      </c>
      <c r="H512" s="9" t="s">
        <v>744</v>
      </c>
      <c r="I512" s="9" t="s">
        <v>744</v>
      </c>
      <c r="J512" s="9" t="s">
        <v>744</v>
      </c>
      <c r="K512" s="9" t="s">
        <v>744</v>
      </c>
      <c r="N512" s="35">
        <f t="shared" si="14"/>
        <v>0</v>
      </c>
      <c r="O512" s="35">
        <f t="shared" si="15"/>
        <v>0</v>
      </c>
    </row>
    <row r="513" spans="14:15" s="9" customFormat="1" hidden="1" x14ac:dyDescent="0.25">
      <c r="N513" s="35">
        <f t="shared" si="14"/>
        <v>0</v>
      </c>
      <c r="O513" s="35">
        <f t="shared" si="15"/>
        <v>0</v>
      </c>
    </row>
    <row r="514" spans="14:15" s="9" customFormat="1" hidden="1" x14ac:dyDescent="0.25">
      <c r="N514" s="35">
        <f t="shared" si="14"/>
        <v>0</v>
      </c>
      <c r="O514" s="35">
        <f t="shared" si="15"/>
        <v>0</v>
      </c>
    </row>
    <row r="515" spans="14:15" s="9" customFormat="1" hidden="1" x14ac:dyDescent="0.25">
      <c r="N515" s="35">
        <f t="shared" si="14"/>
        <v>0</v>
      </c>
      <c r="O515" s="35">
        <f t="shared" si="15"/>
        <v>0</v>
      </c>
    </row>
    <row r="516" spans="14:15" s="9" customFormat="1" hidden="1" x14ac:dyDescent="0.25">
      <c r="N516" s="35">
        <f t="shared" si="14"/>
        <v>0</v>
      </c>
      <c r="O516" s="35">
        <f t="shared" si="15"/>
        <v>0</v>
      </c>
    </row>
    <row r="517" spans="14:15" s="9" customFormat="1" hidden="1" x14ac:dyDescent="0.25">
      <c r="N517" s="35">
        <f t="shared" si="14"/>
        <v>0</v>
      </c>
      <c r="O517" s="35">
        <f t="shared" si="15"/>
        <v>0</v>
      </c>
    </row>
    <row r="518" spans="14:15" s="9" customFormat="1" hidden="1" x14ac:dyDescent="0.25">
      <c r="N518" s="35">
        <f t="shared" si="14"/>
        <v>0</v>
      </c>
      <c r="O518" s="35">
        <f t="shared" si="15"/>
        <v>0</v>
      </c>
    </row>
    <row r="519" spans="14:15" s="9" customFormat="1" hidden="1" x14ac:dyDescent="0.25">
      <c r="N519" s="35">
        <f t="shared" si="14"/>
        <v>0</v>
      </c>
      <c r="O519" s="35">
        <f t="shared" si="15"/>
        <v>0</v>
      </c>
    </row>
    <row r="520" spans="14:15" s="9" customFormat="1" hidden="1" x14ac:dyDescent="0.25">
      <c r="N520" s="35">
        <f t="shared" si="14"/>
        <v>0</v>
      </c>
      <c r="O520" s="35">
        <f t="shared" si="15"/>
        <v>0</v>
      </c>
    </row>
    <row r="521" spans="14:15" s="9" customFormat="1" hidden="1" x14ac:dyDescent="0.25">
      <c r="N521" s="35">
        <f t="shared" si="14"/>
        <v>0</v>
      </c>
      <c r="O521" s="35">
        <f t="shared" si="15"/>
        <v>0</v>
      </c>
    </row>
    <row r="522" spans="14:15" s="9" customFormat="1" hidden="1" x14ac:dyDescent="0.25">
      <c r="N522" s="35">
        <f t="shared" si="14"/>
        <v>0</v>
      </c>
      <c r="O522" s="35">
        <f t="shared" si="15"/>
        <v>0</v>
      </c>
    </row>
    <row r="523" spans="14:15" s="9" customFormat="1" hidden="1" x14ac:dyDescent="0.25">
      <c r="N523" s="35">
        <f t="shared" si="14"/>
        <v>0</v>
      </c>
      <c r="O523" s="35">
        <f t="shared" si="15"/>
        <v>0</v>
      </c>
    </row>
    <row r="524" spans="14:15" s="9" customFormat="1" hidden="1" x14ac:dyDescent="0.25">
      <c r="N524" s="35">
        <f t="shared" ref="N524:N587" si="16">MAX(0,D524)</f>
        <v>0</v>
      </c>
      <c r="O524" s="35">
        <f t="shared" ref="O524:O587" si="17">MAX(0,F524)</f>
        <v>0</v>
      </c>
    </row>
    <row r="525" spans="14:15" s="9" customFormat="1" hidden="1" x14ac:dyDescent="0.25">
      <c r="N525" s="35">
        <f t="shared" si="16"/>
        <v>0</v>
      </c>
      <c r="O525" s="35">
        <f t="shared" si="17"/>
        <v>0</v>
      </c>
    </row>
    <row r="526" spans="14:15" s="9" customFormat="1" hidden="1" x14ac:dyDescent="0.25">
      <c r="N526" s="35">
        <f t="shared" si="16"/>
        <v>0</v>
      </c>
      <c r="O526" s="35">
        <f t="shared" si="17"/>
        <v>0</v>
      </c>
    </row>
    <row r="527" spans="14:15" s="9" customFormat="1" hidden="1" x14ac:dyDescent="0.25">
      <c r="N527" s="35">
        <f t="shared" si="16"/>
        <v>0</v>
      </c>
      <c r="O527" s="35">
        <f t="shared" si="17"/>
        <v>0</v>
      </c>
    </row>
    <row r="528" spans="14:15" s="9" customFormat="1" hidden="1" x14ac:dyDescent="0.25">
      <c r="N528" s="35">
        <f t="shared" si="16"/>
        <v>0</v>
      </c>
      <c r="O528" s="35">
        <f t="shared" si="17"/>
        <v>0</v>
      </c>
    </row>
    <row r="529" spans="14:15" s="9" customFormat="1" hidden="1" x14ac:dyDescent="0.25">
      <c r="N529" s="35">
        <f t="shared" si="16"/>
        <v>0</v>
      </c>
      <c r="O529" s="35">
        <f t="shared" si="17"/>
        <v>0</v>
      </c>
    </row>
    <row r="530" spans="14:15" s="9" customFormat="1" hidden="1" x14ac:dyDescent="0.25">
      <c r="N530" s="35">
        <f t="shared" si="16"/>
        <v>0</v>
      </c>
      <c r="O530" s="35">
        <f t="shared" si="17"/>
        <v>0</v>
      </c>
    </row>
    <row r="531" spans="14:15" s="9" customFormat="1" hidden="1" x14ac:dyDescent="0.25">
      <c r="N531" s="35">
        <f t="shared" si="16"/>
        <v>0</v>
      </c>
      <c r="O531" s="35">
        <f t="shared" si="17"/>
        <v>0</v>
      </c>
    </row>
    <row r="532" spans="14:15" s="9" customFormat="1" hidden="1" x14ac:dyDescent="0.25">
      <c r="N532" s="35">
        <f t="shared" si="16"/>
        <v>0</v>
      </c>
      <c r="O532" s="35">
        <f t="shared" si="17"/>
        <v>0</v>
      </c>
    </row>
    <row r="533" spans="14:15" s="9" customFormat="1" hidden="1" x14ac:dyDescent="0.25">
      <c r="N533" s="35">
        <f t="shared" si="16"/>
        <v>0</v>
      </c>
      <c r="O533" s="35">
        <f t="shared" si="17"/>
        <v>0</v>
      </c>
    </row>
    <row r="534" spans="14:15" s="9" customFormat="1" hidden="1" x14ac:dyDescent="0.25">
      <c r="N534" s="35">
        <f t="shared" si="16"/>
        <v>0</v>
      </c>
      <c r="O534" s="35">
        <f t="shared" si="17"/>
        <v>0</v>
      </c>
    </row>
    <row r="535" spans="14:15" s="9" customFormat="1" hidden="1" x14ac:dyDescent="0.25">
      <c r="N535" s="35">
        <f t="shared" si="16"/>
        <v>0</v>
      </c>
      <c r="O535" s="35">
        <f t="shared" si="17"/>
        <v>0</v>
      </c>
    </row>
    <row r="536" spans="14:15" s="9" customFormat="1" hidden="1" x14ac:dyDescent="0.25">
      <c r="N536" s="35">
        <f t="shared" si="16"/>
        <v>0</v>
      </c>
      <c r="O536" s="35">
        <f t="shared" si="17"/>
        <v>0</v>
      </c>
    </row>
    <row r="537" spans="14:15" s="9" customFormat="1" hidden="1" x14ac:dyDescent="0.25">
      <c r="N537" s="35">
        <f t="shared" si="16"/>
        <v>0</v>
      </c>
      <c r="O537" s="35">
        <f t="shared" si="17"/>
        <v>0</v>
      </c>
    </row>
    <row r="538" spans="14:15" s="9" customFormat="1" hidden="1" x14ac:dyDescent="0.25">
      <c r="N538" s="35">
        <f t="shared" si="16"/>
        <v>0</v>
      </c>
      <c r="O538" s="35">
        <f t="shared" si="17"/>
        <v>0</v>
      </c>
    </row>
    <row r="539" spans="14:15" s="9" customFormat="1" hidden="1" x14ac:dyDescent="0.25">
      <c r="N539" s="35">
        <f t="shared" si="16"/>
        <v>0</v>
      </c>
      <c r="O539" s="35">
        <f t="shared" si="17"/>
        <v>0</v>
      </c>
    </row>
    <row r="540" spans="14:15" s="9" customFormat="1" hidden="1" x14ac:dyDescent="0.25">
      <c r="N540" s="35">
        <f t="shared" si="16"/>
        <v>0</v>
      </c>
      <c r="O540" s="35">
        <f t="shared" si="17"/>
        <v>0</v>
      </c>
    </row>
    <row r="541" spans="14:15" s="9" customFormat="1" hidden="1" x14ac:dyDescent="0.25">
      <c r="N541" s="35">
        <f t="shared" si="16"/>
        <v>0</v>
      </c>
      <c r="O541" s="35">
        <f t="shared" si="17"/>
        <v>0</v>
      </c>
    </row>
    <row r="542" spans="14:15" s="9" customFormat="1" hidden="1" x14ac:dyDescent="0.25">
      <c r="N542" s="35">
        <f t="shared" si="16"/>
        <v>0</v>
      </c>
      <c r="O542" s="35">
        <f t="shared" si="17"/>
        <v>0</v>
      </c>
    </row>
    <row r="543" spans="14:15" s="9" customFormat="1" hidden="1" x14ac:dyDescent="0.25">
      <c r="N543" s="35">
        <f t="shared" si="16"/>
        <v>0</v>
      </c>
      <c r="O543" s="35">
        <f t="shared" si="17"/>
        <v>0</v>
      </c>
    </row>
    <row r="544" spans="14:15" s="9" customFormat="1" hidden="1" x14ac:dyDescent="0.25">
      <c r="N544" s="35">
        <f t="shared" si="16"/>
        <v>0</v>
      </c>
      <c r="O544" s="35">
        <f t="shared" si="17"/>
        <v>0</v>
      </c>
    </row>
    <row r="545" spans="14:15" s="9" customFormat="1" hidden="1" x14ac:dyDescent="0.25">
      <c r="N545" s="35">
        <f t="shared" si="16"/>
        <v>0</v>
      </c>
      <c r="O545" s="35">
        <f t="shared" si="17"/>
        <v>0</v>
      </c>
    </row>
    <row r="546" spans="14:15" s="9" customFormat="1" hidden="1" x14ac:dyDescent="0.25">
      <c r="N546" s="35">
        <f t="shared" si="16"/>
        <v>0</v>
      </c>
      <c r="O546" s="35">
        <f t="shared" si="17"/>
        <v>0</v>
      </c>
    </row>
    <row r="547" spans="14:15" s="9" customFormat="1" hidden="1" x14ac:dyDescent="0.25">
      <c r="N547" s="35">
        <f t="shared" si="16"/>
        <v>0</v>
      </c>
      <c r="O547" s="35">
        <f t="shared" si="17"/>
        <v>0</v>
      </c>
    </row>
    <row r="548" spans="14:15" s="9" customFormat="1" hidden="1" x14ac:dyDescent="0.25">
      <c r="N548" s="35">
        <f t="shared" si="16"/>
        <v>0</v>
      </c>
      <c r="O548" s="35">
        <f t="shared" si="17"/>
        <v>0</v>
      </c>
    </row>
    <row r="549" spans="14:15" s="9" customFormat="1" hidden="1" x14ac:dyDescent="0.25">
      <c r="N549" s="35">
        <f t="shared" si="16"/>
        <v>0</v>
      </c>
      <c r="O549" s="35">
        <f t="shared" si="17"/>
        <v>0</v>
      </c>
    </row>
    <row r="550" spans="14:15" s="9" customFormat="1" hidden="1" x14ac:dyDescent="0.25">
      <c r="N550" s="35">
        <f t="shared" si="16"/>
        <v>0</v>
      </c>
      <c r="O550" s="35">
        <f t="shared" si="17"/>
        <v>0</v>
      </c>
    </row>
    <row r="551" spans="14:15" s="9" customFormat="1" hidden="1" x14ac:dyDescent="0.25">
      <c r="N551" s="35">
        <f t="shared" si="16"/>
        <v>0</v>
      </c>
      <c r="O551" s="35">
        <f t="shared" si="17"/>
        <v>0</v>
      </c>
    </row>
    <row r="552" spans="14:15" s="9" customFormat="1" hidden="1" x14ac:dyDescent="0.25">
      <c r="N552" s="35">
        <f t="shared" si="16"/>
        <v>0</v>
      </c>
      <c r="O552" s="35">
        <f t="shared" si="17"/>
        <v>0</v>
      </c>
    </row>
    <row r="553" spans="14:15" s="9" customFormat="1" hidden="1" x14ac:dyDescent="0.25">
      <c r="N553" s="35">
        <f t="shared" si="16"/>
        <v>0</v>
      </c>
      <c r="O553" s="35">
        <f t="shared" si="17"/>
        <v>0</v>
      </c>
    </row>
    <row r="554" spans="14:15" s="9" customFormat="1" hidden="1" x14ac:dyDescent="0.25">
      <c r="N554" s="35">
        <f t="shared" si="16"/>
        <v>0</v>
      </c>
      <c r="O554" s="35">
        <f t="shared" si="17"/>
        <v>0</v>
      </c>
    </row>
    <row r="555" spans="14:15" s="9" customFormat="1" hidden="1" x14ac:dyDescent="0.25">
      <c r="N555" s="35">
        <f t="shared" si="16"/>
        <v>0</v>
      </c>
      <c r="O555" s="35">
        <f t="shared" si="17"/>
        <v>0</v>
      </c>
    </row>
    <row r="556" spans="14:15" s="9" customFormat="1" hidden="1" x14ac:dyDescent="0.25">
      <c r="N556" s="35">
        <f t="shared" si="16"/>
        <v>0</v>
      </c>
      <c r="O556" s="35">
        <f t="shared" si="17"/>
        <v>0</v>
      </c>
    </row>
    <row r="557" spans="14:15" s="9" customFormat="1" hidden="1" x14ac:dyDescent="0.25">
      <c r="N557" s="35">
        <f t="shared" si="16"/>
        <v>0</v>
      </c>
      <c r="O557" s="35">
        <f t="shared" si="17"/>
        <v>0</v>
      </c>
    </row>
    <row r="558" spans="14:15" s="9" customFormat="1" hidden="1" x14ac:dyDescent="0.25">
      <c r="N558" s="35">
        <f t="shared" si="16"/>
        <v>0</v>
      </c>
      <c r="O558" s="35">
        <f t="shared" si="17"/>
        <v>0</v>
      </c>
    </row>
    <row r="559" spans="14:15" s="9" customFormat="1" hidden="1" x14ac:dyDescent="0.25">
      <c r="N559" s="35">
        <f t="shared" si="16"/>
        <v>0</v>
      </c>
      <c r="O559" s="35">
        <f t="shared" si="17"/>
        <v>0</v>
      </c>
    </row>
    <row r="560" spans="14:15" s="9" customFormat="1" hidden="1" x14ac:dyDescent="0.25">
      <c r="N560" s="35">
        <f t="shared" si="16"/>
        <v>0</v>
      </c>
      <c r="O560" s="35">
        <f t="shared" si="17"/>
        <v>0</v>
      </c>
    </row>
    <row r="561" spans="14:15" s="9" customFormat="1" hidden="1" x14ac:dyDescent="0.25">
      <c r="N561" s="35">
        <f t="shared" si="16"/>
        <v>0</v>
      </c>
      <c r="O561" s="35">
        <f t="shared" si="17"/>
        <v>0</v>
      </c>
    </row>
    <row r="562" spans="14:15" s="9" customFormat="1" hidden="1" x14ac:dyDescent="0.25">
      <c r="N562" s="35">
        <f t="shared" si="16"/>
        <v>0</v>
      </c>
      <c r="O562" s="35">
        <f t="shared" si="17"/>
        <v>0</v>
      </c>
    </row>
    <row r="563" spans="14:15" s="9" customFormat="1" hidden="1" x14ac:dyDescent="0.25">
      <c r="N563" s="35">
        <f t="shared" si="16"/>
        <v>0</v>
      </c>
      <c r="O563" s="35">
        <f t="shared" si="17"/>
        <v>0</v>
      </c>
    </row>
    <row r="564" spans="14:15" s="9" customFormat="1" hidden="1" x14ac:dyDescent="0.25">
      <c r="N564" s="35">
        <f t="shared" si="16"/>
        <v>0</v>
      </c>
      <c r="O564" s="35">
        <f t="shared" si="17"/>
        <v>0</v>
      </c>
    </row>
    <row r="565" spans="14:15" s="9" customFormat="1" hidden="1" x14ac:dyDescent="0.25">
      <c r="N565" s="35">
        <f t="shared" si="16"/>
        <v>0</v>
      </c>
      <c r="O565" s="35">
        <f t="shared" si="17"/>
        <v>0</v>
      </c>
    </row>
    <row r="566" spans="14:15" s="9" customFormat="1" hidden="1" x14ac:dyDescent="0.25">
      <c r="N566" s="35">
        <f t="shared" si="16"/>
        <v>0</v>
      </c>
      <c r="O566" s="35">
        <f t="shared" si="17"/>
        <v>0</v>
      </c>
    </row>
    <row r="567" spans="14:15" s="9" customFormat="1" hidden="1" x14ac:dyDescent="0.25">
      <c r="N567" s="35">
        <f t="shared" si="16"/>
        <v>0</v>
      </c>
      <c r="O567" s="35">
        <f t="shared" si="17"/>
        <v>0</v>
      </c>
    </row>
    <row r="568" spans="14:15" s="9" customFormat="1" hidden="1" x14ac:dyDescent="0.25">
      <c r="N568" s="35">
        <f t="shared" si="16"/>
        <v>0</v>
      </c>
      <c r="O568" s="35">
        <f t="shared" si="17"/>
        <v>0</v>
      </c>
    </row>
    <row r="569" spans="14:15" s="9" customFormat="1" hidden="1" x14ac:dyDescent="0.25">
      <c r="N569" s="35">
        <f t="shared" si="16"/>
        <v>0</v>
      </c>
      <c r="O569" s="35">
        <f t="shared" si="17"/>
        <v>0</v>
      </c>
    </row>
    <row r="570" spans="14:15" s="9" customFormat="1" hidden="1" x14ac:dyDescent="0.25">
      <c r="N570" s="35">
        <f t="shared" si="16"/>
        <v>0</v>
      </c>
      <c r="O570" s="35">
        <f t="shared" si="17"/>
        <v>0</v>
      </c>
    </row>
    <row r="571" spans="14:15" s="9" customFormat="1" hidden="1" x14ac:dyDescent="0.25">
      <c r="N571" s="35">
        <f t="shared" si="16"/>
        <v>0</v>
      </c>
      <c r="O571" s="35">
        <f t="shared" si="17"/>
        <v>0</v>
      </c>
    </row>
    <row r="572" spans="14:15" s="9" customFormat="1" hidden="1" x14ac:dyDescent="0.25">
      <c r="N572" s="35">
        <f t="shared" si="16"/>
        <v>0</v>
      </c>
      <c r="O572" s="35">
        <f t="shared" si="17"/>
        <v>0</v>
      </c>
    </row>
    <row r="573" spans="14:15" s="9" customFormat="1" hidden="1" x14ac:dyDescent="0.25">
      <c r="N573" s="35">
        <f t="shared" si="16"/>
        <v>0</v>
      </c>
      <c r="O573" s="35">
        <f t="shared" si="17"/>
        <v>0</v>
      </c>
    </row>
    <row r="574" spans="14:15" s="9" customFormat="1" hidden="1" x14ac:dyDescent="0.25">
      <c r="N574" s="35">
        <f t="shared" si="16"/>
        <v>0</v>
      </c>
      <c r="O574" s="35">
        <f t="shared" si="17"/>
        <v>0</v>
      </c>
    </row>
    <row r="575" spans="14:15" s="9" customFormat="1" hidden="1" x14ac:dyDescent="0.25">
      <c r="N575" s="35">
        <f t="shared" si="16"/>
        <v>0</v>
      </c>
      <c r="O575" s="35">
        <f t="shared" si="17"/>
        <v>0</v>
      </c>
    </row>
    <row r="576" spans="14:15" s="9" customFormat="1" hidden="1" x14ac:dyDescent="0.25">
      <c r="N576" s="35">
        <f t="shared" si="16"/>
        <v>0</v>
      </c>
      <c r="O576" s="35">
        <f t="shared" si="17"/>
        <v>0</v>
      </c>
    </row>
    <row r="577" spans="14:15" s="9" customFormat="1" hidden="1" x14ac:dyDescent="0.25">
      <c r="N577" s="35">
        <f t="shared" si="16"/>
        <v>0</v>
      </c>
      <c r="O577" s="35">
        <f t="shared" si="17"/>
        <v>0</v>
      </c>
    </row>
    <row r="578" spans="14:15" s="9" customFormat="1" hidden="1" x14ac:dyDescent="0.25">
      <c r="N578" s="35">
        <f t="shared" si="16"/>
        <v>0</v>
      </c>
      <c r="O578" s="35">
        <f t="shared" si="17"/>
        <v>0</v>
      </c>
    </row>
    <row r="579" spans="14:15" s="9" customFormat="1" hidden="1" x14ac:dyDescent="0.25">
      <c r="N579" s="35">
        <f t="shared" si="16"/>
        <v>0</v>
      </c>
      <c r="O579" s="35">
        <f t="shared" si="17"/>
        <v>0</v>
      </c>
    </row>
    <row r="580" spans="14:15" s="9" customFormat="1" hidden="1" x14ac:dyDescent="0.25">
      <c r="N580" s="35">
        <f t="shared" si="16"/>
        <v>0</v>
      </c>
      <c r="O580" s="35">
        <f t="shared" si="17"/>
        <v>0</v>
      </c>
    </row>
    <row r="581" spans="14:15" s="9" customFormat="1" hidden="1" x14ac:dyDescent="0.25">
      <c r="N581" s="35">
        <f t="shared" si="16"/>
        <v>0</v>
      </c>
      <c r="O581" s="35">
        <f t="shared" si="17"/>
        <v>0</v>
      </c>
    </row>
    <row r="582" spans="14:15" s="9" customFormat="1" hidden="1" x14ac:dyDescent="0.25">
      <c r="N582" s="35">
        <f t="shared" si="16"/>
        <v>0</v>
      </c>
      <c r="O582" s="35">
        <f t="shared" si="17"/>
        <v>0</v>
      </c>
    </row>
    <row r="583" spans="14:15" s="9" customFormat="1" hidden="1" x14ac:dyDescent="0.25">
      <c r="N583" s="35">
        <f t="shared" si="16"/>
        <v>0</v>
      </c>
      <c r="O583" s="35">
        <f t="shared" si="17"/>
        <v>0</v>
      </c>
    </row>
    <row r="584" spans="14:15" s="9" customFormat="1" hidden="1" x14ac:dyDescent="0.25">
      <c r="N584" s="35">
        <f t="shared" si="16"/>
        <v>0</v>
      </c>
      <c r="O584" s="35">
        <f t="shared" si="17"/>
        <v>0</v>
      </c>
    </row>
    <row r="585" spans="14:15" s="9" customFormat="1" hidden="1" x14ac:dyDescent="0.25">
      <c r="N585" s="35">
        <f t="shared" si="16"/>
        <v>0</v>
      </c>
      <c r="O585" s="35">
        <f t="shared" si="17"/>
        <v>0</v>
      </c>
    </row>
    <row r="586" spans="14:15" s="9" customFormat="1" hidden="1" x14ac:dyDescent="0.25">
      <c r="N586" s="35">
        <f t="shared" si="16"/>
        <v>0</v>
      </c>
      <c r="O586" s="35">
        <f t="shared" si="17"/>
        <v>0</v>
      </c>
    </row>
    <row r="587" spans="14:15" s="9" customFormat="1" hidden="1" x14ac:dyDescent="0.25">
      <c r="N587" s="35">
        <f t="shared" si="16"/>
        <v>0</v>
      </c>
      <c r="O587" s="35">
        <f t="shared" si="17"/>
        <v>0</v>
      </c>
    </row>
    <row r="588" spans="14:15" s="9" customFormat="1" hidden="1" x14ac:dyDescent="0.25">
      <c r="N588" s="35">
        <f t="shared" ref="N588:N651" si="18">MAX(0,D588)</f>
        <v>0</v>
      </c>
      <c r="O588" s="35">
        <f t="shared" ref="O588:O651" si="19">MAX(0,F588)</f>
        <v>0</v>
      </c>
    </row>
    <row r="589" spans="14:15" s="9" customFormat="1" hidden="1" x14ac:dyDescent="0.25">
      <c r="N589" s="35">
        <f t="shared" si="18"/>
        <v>0</v>
      </c>
      <c r="O589" s="35">
        <f t="shared" si="19"/>
        <v>0</v>
      </c>
    </row>
    <row r="590" spans="14:15" s="9" customFormat="1" hidden="1" x14ac:dyDescent="0.25">
      <c r="N590" s="35">
        <f t="shared" si="18"/>
        <v>0</v>
      </c>
      <c r="O590" s="35">
        <f t="shared" si="19"/>
        <v>0</v>
      </c>
    </row>
    <row r="591" spans="14:15" s="9" customFormat="1" hidden="1" x14ac:dyDescent="0.25">
      <c r="N591" s="35">
        <f t="shared" si="18"/>
        <v>0</v>
      </c>
      <c r="O591" s="35">
        <f t="shared" si="19"/>
        <v>0</v>
      </c>
    </row>
    <row r="592" spans="14:15" s="9" customFormat="1" hidden="1" x14ac:dyDescent="0.25">
      <c r="N592" s="35">
        <f t="shared" si="18"/>
        <v>0</v>
      </c>
      <c r="O592" s="35">
        <f t="shared" si="19"/>
        <v>0</v>
      </c>
    </row>
    <row r="593" spans="14:15" s="9" customFormat="1" hidden="1" x14ac:dyDescent="0.25">
      <c r="N593" s="35">
        <f t="shared" si="18"/>
        <v>0</v>
      </c>
      <c r="O593" s="35">
        <f t="shared" si="19"/>
        <v>0</v>
      </c>
    </row>
    <row r="594" spans="14:15" s="9" customFormat="1" hidden="1" x14ac:dyDescent="0.25">
      <c r="N594" s="35">
        <f t="shared" si="18"/>
        <v>0</v>
      </c>
      <c r="O594" s="35">
        <f t="shared" si="19"/>
        <v>0</v>
      </c>
    </row>
    <row r="595" spans="14:15" s="9" customFormat="1" hidden="1" x14ac:dyDescent="0.25">
      <c r="N595" s="35">
        <f t="shared" si="18"/>
        <v>0</v>
      </c>
      <c r="O595" s="35">
        <f t="shared" si="19"/>
        <v>0</v>
      </c>
    </row>
    <row r="596" spans="14:15" s="9" customFormat="1" hidden="1" x14ac:dyDescent="0.25">
      <c r="N596" s="35">
        <f t="shared" si="18"/>
        <v>0</v>
      </c>
      <c r="O596" s="35">
        <f t="shared" si="19"/>
        <v>0</v>
      </c>
    </row>
    <row r="597" spans="14:15" s="9" customFormat="1" hidden="1" x14ac:dyDescent="0.25">
      <c r="N597" s="35">
        <f t="shared" si="18"/>
        <v>0</v>
      </c>
      <c r="O597" s="35">
        <f t="shared" si="19"/>
        <v>0</v>
      </c>
    </row>
    <row r="598" spans="14:15" s="9" customFormat="1" hidden="1" x14ac:dyDescent="0.25">
      <c r="N598" s="35">
        <f t="shared" si="18"/>
        <v>0</v>
      </c>
      <c r="O598" s="35">
        <f t="shared" si="19"/>
        <v>0</v>
      </c>
    </row>
    <row r="599" spans="14:15" s="9" customFormat="1" hidden="1" x14ac:dyDescent="0.25">
      <c r="N599" s="35">
        <f t="shared" si="18"/>
        <v>0</v>
      </c>
      <c r="O599" s="35">
        <f t="shared" si="19"/>
        <v>0</v>
      </c>
    </row>
    <row r="600" spans="14:15" s="9" customFormat="1" hidden="1" x14ac:dyDescent="0.25">
      <c r="N600" s="35">
        <f t="shared" si="18"/>
        <v>0</v>
      </c>
      <c r="O600" s="35">
        <f t="shared" si="19"/>
        <v>0</v>
      </c>
    </row>
    <row r="601" spans="14:15" s="9" customFormat="1" hidden="1" x14ac:dyDescent="0.25">
      <c r="N601" s="35">
        <f t="shared" si="18"/>
        <v>0</v>
      </c>
      <c r="O601" s="35">
        <f t="shared" si="19"/>
        <v>0</v>
      </c>
    </row>
    <row r="602" spans="14:15" s="9" customFormat="1" hidden="1" x14ac:dyDescent="0.25">
      <c r="N602" s="35">
        <f t="shared" si="18"/>
        <v>0</v>
      </c>
      <c r="O602" s="35">
        <f t="shared" si="19"/>
        <v>0</v>
      </c>
    </row>
    <row r="603" spans="14:15" s="9" customFormat="1" hidden="1" x14ac:dyDescent="0.25">
      <c r="N603" s="35">
        <f t="shared" si="18"/>
        <v>0</v>
      </c>
      <c r="O603" s="35">
        <f t="shared" si="19"/>
        <v>0</v>
      </c>
    </row>
    <row r="604" spans="14:15" s="9" customFormat="1" hidden="1" x14ac:dyDescent="0.25">
      <c r="N604" s="35">
        <f t="shared" si="18"/>
        <v>0</v>
      </c>
      <c r="O604" s="35">
        <f t="shared" si="19"/>
        <v>0</v>
      </c>
    </row>
    <row r="605" spans="14:15" s="9" customFormat="1" hidden="1" x14ac:dyDescent="0.25">
      <c r="N605" s="35">
        <f t="shared" si="18"/>
        <v>0</v>
      </c>
      <c r="O605" s="35">
        <f t="shared" si="19"/>
        <v>0</v>
      </c>
    </row>
    <row r="606" spans="14:15" s="9" customFormat="1" hidden="1" x14ac:dyDescent="0.25">
      <c r="N606" s="35">
        <f t="shared" si="18"/>
        <v>0</v>
      </c>
      <c r="O606" s="35">
        <f t="shared" si="19"/>
        <v>0</v>
      </c>
    </row>
    <row r="607" spans="14:15" s="9" customFormat="1" hidden="1" x14ac:dyDescent="0.25">
      <c r="N607" s="35">
        <f t="shared" si="18"/>
        <v>0</v>
      </c>
      <c r="O607" s="35">
        <f t="shared" si="19"/>
        <v>0</v>
      </c>
    </row>
    <row r="608" spans="14:15" s="9" customFormat="1" hidden="1" x14ac:dyDescent="0.25">
      <c r="N608" s="35">
        <f t="shared" si="18"/>
        <v>0</v>
      </c>
      <c r="O608" s="35">
        <f t="shared" si="19"/>
        <v>0</v>
      </c>
    </row>
    <row r="609" spans="14:15" s="9" customFormat="1" hidden="1" x14ac:dyDescent="0.25">
      <c r="N609" s="35">
        <f t="shared" si="18"/>
        <v>0</v>
      </c>
      <c r="O609" s="35">
        <f t="shared" si="19"/>
        <v>0</v>
      </c>
    </row>
    <row r="610" spans="14:15" s="9" customFormat="1" hidden="1" x14ac:dyDescent="0.25">
      <c r="N610" s="35">
        <f t="shared" si="18"/>
        <v>0</v>
      </c>
      <c r="O610" s="35">
        <f t="shared" si="19"/>
        <v>0</v>
      </c>
    </row>
    <row r="611" spans="14:15" s="9" customFormat="1" hidden="1" x14ac:dyDescent="0.25">
      <c r="N611" s="35">
        <f t="shared" si="18"/>
        <v>0</v>
      </c>
      <c r="O611" s="35">
        <f t="shared" si="19"/>
        <v>0</v>
      </c>
    </row>
    <row r="612" spans="14:15" s="9" customFormat="1" hidden="1" x14ac:dyDescent="0.25">
      <c r="N612" s="35">
        <f t="shared" si="18"/>
        <v>0</v>
      </c>
      <c r="O612" s="35">
        <f t="shared" si="19"/>
        <v>0</v>
      </c>
    </row>
    <row r="613" spans="14:15" s="9" customFormat="1" hidden="1" x14ac:dyDescent="0.25">
      <c r="N613" s="35">
        <f t="shared" si="18"/>
        <v>0</v>
      </c>
      <c r="O613" s="35">
        <f t="shared" si="19"/>
        <v>0</v>
      </c>
    </row>
    <row r="614" spans="14:15" s="9" customFormat="1" hidden="1" x14ac:dyDescent="0.25">
      <c r="N614" s="35">
        <f t="shared" si="18"/>
        <v>0</v>
      </c>
      <c r="O614" s="35">
        <f t="shared" si="19"/>
        <v>0</v>
      </c>
    </row>
    <row r="615" spans="14:15" s="9" customFormat="1" hidden="1" x14ac:dyDescent="0.25">
      <c r="N615" s="35">
        <f t="shared" si="18"/>
        <v>0</v>
      </c>
      <c r="O615" s="35">
        <f t="shared" si="19"/>
        <v>0</v>
      </c>
    </row>
    <row r="616" spans="14:15" s="9" customFormat="1" hidden="1" x14ac:dyDescent="0.25">
      <c r="N616" s="35">
        <f t="shared" si="18"/>
        <v>0</v>
      </c>
      <c r="O616" s="35">
        <f t="shared" si="19"/>
        <v>0</v>
      </c>
    </row>
    <row r="617" spans="14:15" s="9" customFormat="1" hidden="1" x14ac:dyDescent="0.25">
      <c r="N617" s="35">
        <f t="shared" si="18"/>
        <v>0</v>
      </c>
      <c r="O617" s="35">
        <f t="shared" si="19"/>
        <v>0</v>
      </c>
    </row>
    <row r="618" spans="14:15" s="9" customFormat="1" hidden="1" x14ac:dyDescent="0.25">
      <c r="N618" s="35">
        <f t="shared" si="18"/>
        <v>0</v>
      </c>
      <c r="O618" s="35">
        <f t="shared" si="19"/>
        <v>0</v>
      </c>
    </row>
    <row r="619" spans="14:15" s="9" customFormat="1" hidden="1" x14ac:dyDescent="0.25">
      <c r="N619" s="35">
        <f t="shared" si="18"/>
        <v>0</v>
      </c>
      <c r="O619" s="35">
        <f t="shared" si="19"/>
        <v>0</v>
      </c>
    </row>
    <row r="620" spans="14:15" s="9" customFormat="1" hidden="1" x14ac:dyDescent="0.25">
      <c r="N620" s="35">
        <f t="shared" si="18"/>
        <v>0</v>
      </c>
      <c r="O620" s="35">
        <f t="shared" si="19"/>
        <v>0</v>
      </c>
    </row>
    <row r="621" spans="14:15" s="9" customFormat="1" hidden="1" x14ac:dyDescent="0.25">
      <c r="N621" s="35">
        <f t="shared" si="18"/>
        <v>0</v>
      </c>
      <c r="O621" s="35">
        <f t="shared" si="19"/>
        <v>0</v>
      </c>
    </row>
    <row r="622" spans="14:15" s="9" customFormat="1" hidden="1" x14ac:dyDescent="0.25">
      <c r="N622" s="35">
        <f t="shared" si="18"/>
        <v>0</v>
      </c>
      <c r="O622" s="35">
        <f t="shared" si="19"/>
        <v>0</v>
      </c>
    </row>
    <row r="623" spans="14:15" s="9" customFormat="1" hidden="1" x14ac:dyDescent="0.25">
      <c r="N623" s="35">
        <f t="shared" si="18"/>
        <v>0</v>
      </c>
      <c r="O623" s="35">
        <f t="shared" si="19"/>
        <v>0</v>
      </c>
    </row>
    <row r="624" spans="14:15" s="9" customFormat="1" hidden="1" x14ac:dyDescent="0.25">
      <c r="N624" s="35">
        <f t="shared" si="18"/>
        <v>0</v>
      </c>
      <c r="O624" s="35">
        <f t="shared" si="19"/>
        <v>0</v>
      </c>
    </row>
    <row r="625" spans="14:15" s="9" customFormat="1" hidden="1" x14ac:dyDescent="0.25">
      <c r="N625" s="35">
        <f t="shared" si="18"/>
        <v>0</v>
      </c>
      <c r="O625" s="35">
        <f t="shared" si="19"/>
        <v>0</v>
      </c>
    </row>
    <row r="626" spans="14:15" s="9" customFormat="1" hidden="1" x14ac:dyDescent="0.25">
      <c r="N626" s="35">
        <f t="shared" si="18"/>
        <v>0</v>
      </c>
      <c r="O626" s="35">
        <f t="shared" si="19"/>
        <v>0</v>
      </c>
    </row>
    <row r="627" spans="14:15" s="9" customFormat="1" hidden="1" x14ac:dyDescent="0.25">
      <c r="N627" s="35">
        <f t="shared" si="18"/>
        <v>0</v>
      </c>
      <c r="O627" s="35">
        <f t="shared" si="19"/>
        <v>0</v>
      </c>
    </row>
    <row r="628" spans="14:15" s="9" customFormat="1" hidden="1" x14ac:dyDescent="0.25">
      <c r="N628" s="35">
        <f t="shared" si="18"/>
        <v>0</v>
      </c>
      <c r="O628" s="35">
        <f t="shared" si="19"/>
        <v>0</v>
      </c>
    </row>
    <row r="629" spans="14:15" s="9" customFormat="1" hidden="1" x14ac:dyDescent="0.25">
      <c r="N629" s="35">
        <f t="shared" si="18"/>
        <v>0</v>
      </c>
      <c r="O629" s="35">
        <f t="shared" si="19"/>
        <v>0</v>
      </c>
    </row>
    <row r="630" spans="14:15" s="9" customFormat="1" hidden="1" x14ac:dyDescent="0.25">
      <c r="N630" s="35">
        <f t="shared" si="18"/>
        <v>0</v>
      </c>
      <c r="O630" s="35">
        <f t="shared" si="19"/>
        <v>0</v>
      </c>
    </row>
    <row r="631" spans="14:15" s="9" customFormat="1" hidden="1" x14ac:dyDescent="0.25">
      <c r="N631" s="35">
        <f t="shared" si="18"/>
        <v>0</v>
      </c>
      <c r="O631" s="35">
        <f t="shared" si="19"/>
        <v>0</v>
      </c>
    </row>
    <row r="632" spans="14:15" s="9" customFormat="1" hidden="1" x14ac:dyDescent="0.25">
      <c r="N632" s="35">
        <f t="shared" si="18"/>
        <v>0</v>
      </c>
      <c r="O632" s="35">
        <f t="shared" si="19"/>
        <v>0</v>
      </c>
    </row>
    <row r="633" spans="14:15" s="9" customFormat="1" hidden="1" x14ac:dyDescent="0.25">
      <c r="N633" s="35">
        <f t="shared" si="18"/>
        <v>0</v>
      </c>
      <c r="O633" s="35">
        <f t="shared" si="19"/>
        <v>0</v>
      </c>
    </row>
    <row r="634" spans="14:15" s="9" customFormat="1" hidden="1" x14ac:dyDescent="0.25">
      <c r="N634" s="35">
        <f t="shared" si="18"/>
        <v>0</v>
      </c>
      <c r="O634" s="35">
        <f t="shared" si="19"/>
        <v>0</v>
      </c>
    </row>
    <row r="635" spans="14:15" s="9" customFormat="1" hidden="1" x14ac:dyDescent="0.25">
      <c r="N635" s="35">
        <f t="shared" si="18"/>
        <v>0</v>
      </c>
      <c r="O635" s="35">
        <f t="shared" si="19"/>
        <v>0</v>
      </c>
    </row>
    <row r="636" spans="14:15" s="9" customFormat="1" hidden="1" x14ac:dyDescent="0.25">
      <c r="N636" s="35">
        <f t="shared" si="18"/>
        <v>0</v>
      </c>
      <c r="O636" s="35">
        <f t="shared" si="19"/>
        <v>0</v>
      </c>
    </row>
    <row r="637" spans="14:15" s="9" customFormat="1" hidden="1" x14ac:dyDescent="0.25">
      <c r="N637" s="35">
        <f t="shared" si="18"/>
        <v>0</v>
      </c>
      <c r="O637" s="35">
        <f t="shared" si="19"/>
        <v>0</v>
      </c>
    </row>
    <row r="638" spans="14:15" s="9" customFormat="1" hidden="1" x14ac:dyDescent="0.25">
      <c r="N638" s="35">
        <f t="shared" si="18"/>
        <v>0</v>
      </c>
      <c r="O638" s="35">
        <f t="shared" si="19"/>
        <v>0</v>
      </c>
    </row>
    <row r="639" spans="14:15" s="9" customFormat="1" hidden="1" x14ac:dyDescent="0.25">
      <c r="N639" s="35">
        <f t="shared" si="18"/>
        <v>0</v>
      </c>
      <c r="O639" s="35">
        <f t="shared" si="19"/>
        <v>0</v>
      </c>
    </row>
    <row r="640" spans="14:15" s="9" customFormat="1" hidden="1" x14ac:dyDescent="0.25">
      <c r="N640" s="35">
        <f t="shared" si="18"/>
        <v>0</v>
      </c>
      <c r="O640" s="35">
        <f t="shared" si="19"/>
        <v>0</v>
      </c>
    </row>
    <row r="641" spans="14:15" s="9" customFormat="1" hidden="1" x14ac:dyDescent="0.25">
      <c r="N641" s="35">
        <f t="shared" si="18"/>
        <v>0</v>
      </c>
      <c r="O641" s="35">
        <f t="shared" si="19"/>
        <v>0</v>
      </c>
    </row>
    <row r="642" spans="14:15" s="9" customFormat="1" hidden="1" x14ac:dyDescent="0.25">
      <c r="N642" s="35">
        <f t="shared" si="18"/>
        <v>0</v>
      </c>
      <c r="O642" s="35">
        <f t="shared" si="19"/>
        <v>0</v>
      </c>
    </row>
    <row r="643" spans="14:15" s="9" customFormat="1" hidden="1" x14ac:dyDescent="0.25">
      <c r="N643" s="35">
        <f t="shared" si="18"/>
        <v>0</v>
      </c>
      <c r="O643" s="35">
        <f t="shared" si="19"/>
        <v>0</v>
      </c>
    </row>
    <row r="644" spans="14:15" s="9" customFormat="1" hidden="1" x14ac:dyDescent="0.25">
      <c r="N644" s="35">
        <f t="shared" si="18"/>
        <v>0</v>
      </c>
      <c r="O644" s="35">
        <f t="shared" si="19"/>
        <v>0</v>
      </c>
    </row>
    <row r="645" spans="14:15" s="9" customFormat="1" hidden="1" x14ac:dyDescent="0.25">
      <c r="N645" s="35">
        <f t="shared" si="18"/>
        <v>0</v>
      </c>
      <c r="O645" s="35">
        <f t="shared" si="19"/>
        <v>0</v>
      </c>
    </row>
    <row r="646" spans="14:15" s="9" customFormat="1" hidden="1" x14ac:dyDescent="0.25">
      <c r="N646" s="35">
        <f t="shared" si="18"/>
        <v>0</v>
      </c>
      <c r="O646" s="35">
        <f t="shared" si="19"/>
        <v>0</v>
      </c>
    </row>
    <row r="647" spans="14:15" s="9" customFormat="1" hidden="1" x14ac:dyDescent="0.25">
      <c r="N647" s="35">
        <f t="shared" si="18"/>
        <v>0</v>
      </c>
      <c r="O647" s="35">
        <f t="shared" si="19"/>
        <v>0</v>
      </c>
    </row>
    <row r="648" spans="14:15" s="9" customFormat="1" hidden="1" x14ac:dyDescent="0.25">
      <c r="N648" s="35">
        <f t="shared" si="18"/>
        <v>0</v>
      </c>
      <c r="O648" s="35">
        <f t="shared" si="19"/>
        <v>0</v>
      </c>
    </row>
    <row r="649" spans="14:15" s="9" customFormat="1" hidden="1" x14ac:dyDescent="0.25">
      <c r="N649" s="35">
        <f t="shared" si="18"/>
        <v>0</v>
      </c>
      <c r="O649" s="35">
        <f t="shared" si="19"/>
        <v>0</v>
      </c>
    </row>
    <row r="650" spans="14:15" s="9" customFormat="1" hidden="1" x14ac:dyDescent="0.25">
      <c r="N650" s="35">
        <f t="shared" si="18"/>
        <v>0</v>
      </c>
      <c r="O650" s="35">
        <f t="shared" si="19"/>
        <v>0</v>
      </c>
    </row>
    <row r="651" spans="14:15" s="9" customFormat="1" hidden="1" x14ac:dyDescent="0.25">
      <c r="N651" s="35">
        <f t="shared" si="18"/>
        <v>0</v>
      </c>
      <c r="O651" s="35">
        <f t="shared" si="19"/>
        <v>0</v>
      </c>
    </row>
    <row r="652" spans="14:15" s="9" customFormat="1" hidden="1" x14ac:dyDescent="0.25">
      <c r="N652" s="35">
        <f t="shared" ref="N652:N715" si="20">MAX(0,D652)</f>
        <v>0</v>
      </c>
      <c r="O652" s="35">
        <f t="shared" ref="O652:O715" si="21">MAX(0,F652)</f>
        <v>0</v>
      </c>
    </row>
    <row r="653" spans="14:15" s="9" customFormat="1" hidden="1" x14ac:dyDescent="0.25">
      <c r="N653" s="35">
        <f t="shared" si="20"/>
        <v>0</v>
      </c>
      <c r="O653" s="35">
        <f t="shared" si="21"/>
        <v>0</v>
      </c>
    </row>
    <row r="654" spans="14:15" s="9" customFormat="1" hidden="1" x14ac:dyDescent="0.25">
      <c r="N654" s="35">
        <f t="shared" si="20"/>
        <v>0</v>
      </c>
      <c r="O654" s="35">
        <f t="shared" si="21"/>
        <v>0</v>
      </c>
    </row>
    <row r="655" spans="14:15" s="9" customFormat="1" hidden="1" x14ac:dyDescent="0.25">
      <c r="N655" s="35">
        <f t="shared" si="20"/>
        <v>0</v>
      </c>
      <c r="O655" s="35">
        <f t="shared" si="21"/>
        <v>0</v>
      </c>
    </row>
    <row r="656" spans="14:15" s="9" customFormat="1" hidden="1" x14ac:dyDescent="0.25">
      <c r="N656" s="35">
        <f t="shared" si="20"/>
        <v>0</v>
      </c>
      <c r="O656" s="35">
        <f t="shared" si="21"/>
        <v>0</v>
      </c>
    </row>
    <row r="657" spans="14:15" s="9" customFormat="1" hidden="1" x14ac:dyDescent="0.25">
      <c r="N657" s="35">
        <f t="shared" si="20"/>
        <v>0</v>
      </c>
      <c r="O657" s="35">
        <f t="shared" si="21"/>
        <v>0</v>
      </c>
    </row>
    <row r="658" spans="14:15" s="9" customFormat="1" hidden="1" x14ac:dyDescent="0.25">
      <c r="N658" s="35">
        <f t="shared" si="20"/>
        <v>0</v>
      </c>
      <c r="O658" s="35">
        <f t="shared" si="21"/>
        <v>0</v>
      </c>
    </row>
    <row r="659" spans="14:15" s="9" customFormat="1" hidden="1" x14ac:dyDescent="0.25">
      <c r="N659" s="35">
        <f t="shared" si="20"/>
        <v>0</v>
      </c>
      <c r="O659" s="35">
        <f t="shared" si="21"/>
        <v>0</v>
      </c>
    </row>
    <row r="660" spans="14:15" s="9" customFormat="1" hidden="1" x14ac:dyDescent="0.25">
      <c r="N660" s="35">
        <f t="shared" si="20"/>
        <v>0</v>
      </c>
      <c r="O660" s="35">
        <f t="shared" si="21"/>
        <v>0</v>
      </c>
    </row>
    <row r="661" spans="14:15" s="9" customFormat="1" hidden="1" x14ac:dyDescent="0.25">
      <c r="N661" s="35">
        <f t="shared" si="20"/>
        <v>0</v>
      </c>
      <c r="O661" s="35">
        <f t="shared" si="21"/>
        <v>0</v>
      </c>
    </row>
    <row r="662" spans="14:15" s="9" customFormat="1" hidden="1" x14ac:dyDescent="0.25">
      <c r="N662" s="35">
        <f t="shared" si="20"/>
        <v>0</v>
      </c>
      <c r="O662" s="35">
        <f t="shared" si="21"/>
        <v>0</v>
      </c>
    </row>
    <row r="663" spans="14:15" s="9" customFormat="1" hidden="1" x14ac:dyDescent="0.25">
      <c r="N663" s="35">
        <f t="shared" si="20"/>
        <v>0</v>
      </c>
      <c r="O663" s="35">
        <f t="shared" si="21"/>
        <v>0</v>
      </c>
    </row>
    <row r="664" spans="14:15" s="9" customFormat="1" hidden="1" x14ac:dyDescent="0.25">
      <c r="N664" s="35">
        <f t="shared" si="20"/>
        <v>0</v>
      </c>
      <c r="O664" s="35">
        <f t="shared" si="21"/>
        <v>0</v>
      </c>
    </row>
    <row r="665" spans="14:15" s="9" customFormat="1" hidden="1" x14ac:dyDescent="0.25">
      <c r="N665" s="35">
        <f t="shared" si="20"/>
        <v>0</v>
      </c>
      <c r="O665" s="35">
        <f t="shared" si="21"/>
        <v>0</v>
      </c>
    </row>
    <row r="666" spans="14:15" s="9" customFormat="1" hidden="1" x14ac:dyDescent="0.25">
      <c r="N666" s="35">
        <f t="shared" si="20"/>
        <v>0</v>
      </c>
      <c r="O666" s="35">
        <f t="shared" si="21"/>
        <v>0</v>
      </c>
    </row>
    <row r="667" spans="14:15" s="9" customFormat="1" hidden="1" x14ac:dyDescent="0.25">
      <c r="N667" s="35">
        <f t="shared" si="20"/>
        <v>0</v>
      </c>
      <c r="O667" s="35">
        <f t="shared" si="21"/>
        <v>0</v>
      </c>
    </row>
    <row r="668" spans="14:15" s="9" customFormat="1" hidden="1" x14ac:dyDescent="0.25">
      <c r="N668" s="35">
        <f t="shared" si="20"/>
        <v>0</v>
      </c>
      <c r="O668" s="35">
        <f t="shared" si="21"/>
        <v>0</v>
      </c>
    </row>
    <row r="669" spans="14:15" s="9" customFormat="1" hidden="1" x14ac:dyDescent="0.25">
      <c r="N669" s="35">
        <f t="shared" si="20"/>
        <v>0</v>
      </c>
      <c r="O669" s="35">
        <f t="shared" si="21"/>
        <v>0</v>
      </c>
    </row>
    <row r="670" spans="14:15" s="9" customFormat="1" hidden="1" x14ac:dyDescent="0.25">
      <c r="N670" s="35">
        <f t="shared" si="20"/>
        <v>0</v>
      </c>
      <c r="O670" s="35">
        <f t="shared" si="21"/>
        <v>0</v>
      </c>
    </row>
    <row r="671" spans="14:15" s="9" customFormat="1" hidden="1" x14ac:dyDescent="0.25">
      <c r="N671" s="35">
        <f t="shared" si="20"/>
        <v>0</v>
      </c>
      <c r="O671" s="35">
        <f t="shared" si="21"/>
        <v>0</v>
      </c>
    </row>
    <row r="672" spans="14:15" s="9" customFormat="1" hidden="1" x14ac:dyDescent="0.25">
      <c r="N672" s="35">
        <f t="shared" si="20"/>
        <v>0</v>
      </c>
      <c r="O672" s="35">
        <f t="shared" si="21"/>
        <v>0</v>
      </c>
    </row>
    <row r="673" spans="14:15" s="9" customFormat="1" hidden="1" x14ac:dyDescent="0.25">
      <c r="N673" s="35">
        <f t="shared" si="20"/>
        <v>0</v>
      </c>
      <c r="O673" s="35">
        <f t="shared" si="21"/>
        <v>0</v>
      </c>
    </row>
    <row r="674" spans="14:15" s="9" customFormat="1" hidden="1" x14ac:dyDescent="0.25">
      <c r="N674" s="35">
        <f t="shared" si="20"/>
        <v>0</v>
      </c>
      <c r="O674" s="35">
        <f t="shared" si="21"/>
        <v>0</v>
      </c>
    </row>
    <row r="675" spans="14:15" s="9" customFormat="1" hidden="1" x14ac:dyDescent="0.25">
      <c r="N675" s="35">
        <f t="shared" si="20"/>
        <v>0</v>
      </c>
      <c r="O675" s="35">
        <f t="shared" si="21"/>
        <v>0</v>
      </c>
    </row>
    <row r="676" spans="14:15" s="9" customFormat="1" hidden="1" x14ac:dyDescent="0.25">
      <c r="N676" s="35">
        <f t="shared" si="20"/>
        <v>0</v>
      </c>
      <c r="O676" s="35">
        <f t="shared" si="21"/>
        <v>0</v>
      </c>
    </row>
    <row r="677" spans="14:15" s="9" customFormat="1" hidden="1" x14ac:dyDescent="0.25">
      <c r="N677" s="35">
        <f t="shared" si="20"/>
        <v>0</v>
      </c>
      <c r="O677" s="35">
        <f t="shared" si="21"/>
        <v>0</v>
      </c>
    </row>
    <row r="678" spans="14:15" s="9" customFormat="1" hidden="1" x14ac:dyDescent="0.25">
      <c r="N678" s="35">
        <f t="shared" si="20"/>
        <v>0</v>
      </c>
      <c r="O678" s="35">
        <f t="shared" si="21"/>
        <v>0</v>
      </c>
    </row>
    <row r="679" spans="14:15" s="9" customFormat="1" hidden="1" x14ac:dyDescent="0.25">
      <c r="N679" s="35">
        <f t="shared" si="20"/>
        <v>0</v>
      </c>
      <c r="O679" s="35">
        <f t="shared" si="21"/>
        <v>0</v>
      </c>
    </row>
    <row r="680" spans="14:15" s="9" customFormat="1" hidden="1" x14ac:dyDescent="0.25">
      <c r="N680" s="35">
        <f t="shared" si="20"/>
        <v>0</v>
      </c>
      <c r="O680" s="35">
        <f t="shared" si="21"/>
        <v>0</v>
      </c>
    </row>
    <row r="681" spans="14:15" s="9" customFormat="1" hidden="1" x14ac:dyDescent="0.25">
      <c r="N681" s="35">
        <f t="shared" si="20"/>
        <v>0</v>
      </c>
      <c r="O681" s="35">
        <f t="shared" si="21"/>
        <v>0</v>
      </c>
    </row>
    <row r="682" spans="14:15" s="9" customFormat="1" hidden="1" x14ac:dyDescent="0.25">
      <c r="N682" s="35">
        <f t="shared" si="20"/>
        <v>0</v>
      </c>
      <c r="O682" s="35">
        <f t="shared" si="21"/>
        <v>0</v>
      </c>
    </row>
    <row r="683" spans="14:15" s="9" customFormat="1" hidden="1" x14ac:dyDescent="0.25">
      <c r="N683" s="35">
        <f t="shared" si="20"/>
        <v>0</v>
      </c>
      <c r="O683" s="35">
        <f t="shared" si="21"/>
        <v>0</v>
      </c>
    </row>
    <row r="684" spans="14:15" s="9" customFormat="1" hidden="1" x14ac:dyDescent="0.25">
      <c r="N684" s="35">
        <f t="shared" si="20"/>
        <v>0</v>
      </c>
      <c r="O684" s="35">
        <f t="shared" si="21"/>
        <v>0</v>
      </c>
    </row>
    <row r="685" spans="14:15" s="9" customFormat="1" hidden="1" x14ac:dyDescent="0.25">
      <c r="N685" s="35">
        <f t="shared" si="20"/>
        <v>0</v>
      </c>
      <c r="O685" s="35">
        <f t="shared" si="21"/>
        <v>0</v>
      </c>
    </row>
    <row r="686" spans="14:15" s="9" customFormat="1" hidden="1" x14ac:dyDescent="0.25">
      <c r="N686" s="35">
        <f t="shared" si="20"/>
        <v>0</v>
      </c>
      <c r="O686" s="35">
        <f t="shared" si="21"/>
        <v>0</v>
      </c>
    </row>
    <row r="687" spans="14:15" s="9" customFormat="1" hidden="1" x14ac:dyDescent="0.25">
      <c r="N687" s="35">
        <f t="shared" si="20"/>
        <v>0</v>
      </c>
      <c r="O687" s="35">
        <f t="shared" si="21"/>
        <v>0</v>
      </c>
    </row>
    <row r="688" spans="14:15" s="9" customFormat="1" hidden="1" x14ac:dyDescent="0.25">
      <c r="N688" s="35">
        <f t="shared" si="20"/>
        <v>0</v>
      </c>
      <c r="O688" s="35">
        <f t="shared" si="21"/>
        <v>0</v>
      </c>
    </row>
    <row r="689" spans="14:15" s="9" customFormat="1" hidden="1" x14ac:dyDescent="0.25">
      <c r="N689" s="35">
        <f t="shared" si="20"/>
        <v>0</v>
      </c>
      <c r="O689" s="35">
        <f t="shared" si="21"/>
        <v>0</v>
      </c>
    </row>
    <row r="690" spans="14:15" s="9" customFormat="1" hidden="1" x14ac:dyDescent="0.25">
      <c r="N690" s="35">
        <f t="shared" si="20"/>
        <v>0</v>
      </c>
      <c r="O690" s="35">
        <f t="shared" si="21"/>
        <v>0</v>
      </c>
    </row>
    <row r="691" spans="14:15" s="9" customFormat="1" hidden="1" x14ac:dyDescent="0.25">
      <c r="N691" s="35">
        <f t="shared" si="20"/>
        <v>0</v>
      </c>
      <c r="O691" s="35">
        <f t="shared" si="21"/>
        <v>0</v>
      </c>
    </row>
    <row r="692" spans="14:15" s="9" customFormat="1" hidden="1" x14ac:dyDescent="0.25">
      <c r="N692" s="35">
        <f t="shared" si="20"/>
        <v>0</v>
      </c>
      <c r="O692" s="35">
        <f t="shared" si="21"/>
        <v>0</v>
      </c>
    </row>
    <row r="693" spans="14:15" s="9" customFormat="1" hidden="1" x14ac:dyDescent="0.25">
      <c r="N693" s="35">
        <f t="shared" si="20"/>
        <v>0</v>
      </c>
      <c r="O693" s="35">
        <f t="shared" si="21"/>
        <v>0</v>
      </c>
    </row>
    <row r="694" spans="14:15" s="9" customFormat="1" hidden="1" x14ac:dyDescent="0.25">
      <c r="N694" s="35">
        <f t="shared" si="20"/>
        <v>0</v>
      </c>
      <c r="O694" s="35">
        <f t="shared" si="21"/>
        <v>0</v>
      </c>
    </row>
    <row r="695" spans="14:15" s="9" customFormat="1" hidden="1" x14ac:dyDescent="0.25">
      <c r="N695" s="35">
        <f t="shared" si="20"/>
        <v>0</v>
      </c>
      <c r="O695" s="35">
        <f t="shared" si="21"/>
        <v>0</v>
      </c>
    </row>
    <row r="696" spans="14:15" s="9" customFormat="1" hidden="1" x14ac:dyDescent="0.25">
      <c r="N696" s="35">
        <f t="shared" si="20"/>
        <v>0</v>
      </c>
      <c r="O696" s="35">
        <f t="shared" si="21"/>
        <v>0</v>
      </c>
    </row>
    <row r="697" spans="14:15" s="9" customFormat="1" hidden="1" x14ac:dyDescent="0.25">
      <c r="N697" s="35">
        <f t="shared" si="20"/>
        <v>0</v>
      </c>
      <c r="O697" s="35">
        <f t="shared" si="21"/>
        <v>0</v>
      </c>
    </row>
    <row r="698" spans="14:15" s="9" customFormat="1" hidden="1" x14ac:dyDescent="0.25">
      <c r="N698" s="35">
        <f t="shared" si="20"/>
        <v>0</v>
      </c>
      <c r="O698" s="35">
        <f t="shared" si="21"/>
        <v>0</v>
      </c>
    </row>
    <row r="699" spans="14:15" s="9" customFormat="1" hidden="1" x14ac:dyDescent="0.25">
      <c r="N699" s="35">
        <f t="shared" si="20"/>
        <v>0</v>
      </c>
      <c r="O699" s="35">
        <f t="shared" si="21"/>
        <v>0</v>
      </c>
    </row>
    <row r="700" spans="14:15" s="9" customFormat="1" hidden="1" x14ac:dyDescent="0.25">
      <c r="N700" s="35">
        <f t="shared" si="20"/>
        <v>0</v>
      </c>
      <c r="O700" s="35">
        <f t="shared" si="21"/>
        <v>0</v>
      </c>
    </row>
    <row r="701" spans="14:15" s="9" customFormat="1" hidden="1" x14ac:dyDescent="0.25">
      <c r="N701" s="35">
        <f t="shared" si="20"/>
        <v>0</v>
      </c>
      <c r="O701" s="35">
        <f t="shared" si="21"/>
        <v>0</v>
      </c>
    </row>
    <row r="702" spans="14:15" s="9" customFormat="1" hidden="1" x14ac:dyDescent="0.25">
      <c r="N702" s="35">
        <f t="shared" si="20"/>
        <v>0</v>
      </c>
      <c r="O702" s="35">
        <f t="shared" si="21"/>
        <v>0</v>
      </c>
    </row>
    <row r="703" spans="14:15" s="9" customFormat="1" hidden="1" x14ac:dyDescent="0.25">
      <c r="N703" s="35">
        <f t="shared" si="20"/>
        <v>0</v>
      </c>
      <c r="O703" s="35">
        <f t="shared" si="21"/>
        <v>0</v>
      </c>
    </row>
    <row r="704" spans="14:15" s="9" customFormat="1" hidden="1" x14ac:dyDescent="0.25">
      <c r="N704" s="35">
        <f t="shared" si="20"/>
        <v>0</v>
      </c>
      <c r="O704" s="35">
        <f t="shared" si="21"/>
        <v>0</v>
      </c>
    </row>
    <row r="705" spans="14:15" s="9" customFormat="1" hidden="1" x14ac:dyDescent="0.25">
      <c r="N705" s="35">
        <f t="shared" si="20"/>
        <v>0</v>
      </c>
      <c r="O705" s="35">
        <f t="shared" si="21"/>
        <v>0</v>
      </c>
    </row>
    <row r="706" spans="14:15" s="9" customFormat="1" hidden="1" x14ac:dyDescent="0.25">
      <c r="N706" s="35">
        <f t="shared" si="20"/>
        <v>0</v>
      </c>
      <c r="O706" s="35">
        <f t="shared" si="21"/>
        <v>0</v>
      </c>
    </row>
    <row r="707" spans="14:15" s="9" customFormat="1" hidden="1" x14ac:dyDescent="0.25">
      <c r="N707" s="35">
        <f t="shared" si="20"/>
        <v>0</v>
      </c>
      <c r="O707" s="35">
        <f t="shared" si="21"/>
        <v>0</v>
      </c>
    </row>
    <row r="708" spans="14:15" s="9" customFormat="1" hidden="1" x14ac:dyDescent="0.25">
      <c r="N708" s="35">
        <f t="shared" si="20"/>
        <v>0</v>
      </c>
      <c r="O708" s="35">
        <f t="shared" si="21"/>
        <v>0</v>
      </c>
    </row>
    <row r="709" spans="14:15" s="9" customFormat="1" hidden="1" x14ac:dyDescent="0.25">
      <c r="N709" s="35">
        <f t="shared" si="20"/>
        <v>0</v>
      </c>
      <c r="O709" s="35">
        <f t="shared" si="21"/>
        <v>0</v>
      </c>
    </row>
    <row r="710" spans="14:15" s="9" customFormat="1" hidden="1" x14ac:dyDescent="0.25">
      <c r="N710" s="35">
        <f t="shared" si="20"/>
        <v>0</v>
      </c>
      <c r="O710" s="35">
        <f t="shared" si="21"/>
        <v>0</v>
      </c>
    </row>
    <row r="711" spans="14:15" s="9" customFormat="1" hidden="1" x14ac:dyDescent="0.25">
      <c r="N711" s="35">
        <f t="shared" si="20"/>
        <v>0</v>
      </c>
      <c r="O711" s="35">
        <f t="shared" si="21"/>
        <v>0</v>
      </c>
    </row>
    <row r="712" spans="14:15" s="9" customFormat="1" hidden="1" x14ac:dyDescent="0.25">
      <c r="N712" s="35">
        <f t="shared" si="20"/>
        <v>0</v>
      </c>
      <c r="O712" s="35">
        <f t="shared" si="21"/>
        <v>0</v>
      </c>
    </row>
    <row r="713" spans="14:15" s="9" customFormat="1" hidden="1" x14ac:dyDescent="0.25">
      <c r="N713" s="35">
        <f t="shared" si="20"/>
        <v>0</v>
      </c>
      <c r="O713" s="35">
        <f t="shared" si="21"/>
        <v>0</v>
      </c>
    </row>
    <row r="714" spans="14:15" s="9" customFormat="1" hidden="1" x14ac:dyDescent="0.25">
      <c r="N714" s="35">
        <f t="shared" si="20"/>
        <v>0</v>
      </c>
      <c r="O714" s="35">
        <f t="shared" si="21"/>
        <v>0</v>
      </c>
    </row>
    <row r="715" spans="14:15" s="9" customFormat="1" hidden="1" x14ac:dyDescent="0.25">
      <c r="N715" s="35">
        <f t="shared" si="20"/>
        <v>0</v>
      </c>
      <c r="O715" s="35">
        <f t="shared" si="21"/>
        <v>0</v>
      </c>
    </row>
    <row r="716" spans="14:15" s="9" customFormat="1" hidden="1" x14ac:dyDescent="0.25">
      <c r="N716" s="35">
        <f t="shared" ref="N716:N779" si="22">MAX(0,D716)</f>
        <v>0</v>
      </c>
      <c r="O716" s="35">
        <f t="shared" ref="O716:O779" si="23">MAX(0,F716)</f>
        <v>0</v>
      </c>
    </row>
    <row r="717" spans="14:15" s="9" customFormat="1" hidden="1" x14ac:dyDescent="0.25">
      <c r="N717" s="35">
        <f t="shared" si="22"/>
        <v>0</v>
      </c>
      <c r="O717" s="35">
        <f t="shared" si="23"/>
        <v>0</v>
      </c>
    </row>
    <row r="718" spans="14:15" s="9" customFormat="1" hidden="1" x14ac:dyDescent="0.25">
      <c r="N718" s="35">
        <f t="shared" si="22"/>
        <v>0</v>
      </c>
      <c r="O718" s="35">
        <f t="shared" si="23"/>
        <v>0</v>
      </c>
    </row>
    <row r="719" spans="14:15" s="9" customFormat="1" hidden="1" x14ac:dyDescent="0.25">
      <c r="N719" s="35">
        <f t="shared" si="22"/>
        <v>0</v>
      </c>
      <c r="O719" s="35">
        <f t="shared" si="23"/>
        <v>0</v>
      </c>
    </row>
    <row r="720" spans="14:15" s="9" customFormat="1" hidden="1" x14ac:dyDescent="0.25">
      <c r="N720" s="35">
        <f t="shared" si="22"/>
        <v>0</v>
      </c>
      <c r="O720" s="35">
        <f t="shared" si="23"/>
        <v>0</v>
      </c>
    </row>
    <row r="721" spans="14:15" s="9" customFormat="1" hidden="1" x14ac:dyDescent="0.25">
      <c r="N721" s="35">
        <f t="shared" si="22"/>
        <v>0</v>
      </c>
      <c r="O721" s="35">
        <f t="shared" si="23"/>
        <v>0</v>
      </c>
    </row>
    <row r="722" spans="14:15" s="9" customFormat="1" hidden="1" x14ac:dyDescent="0.25">
      <c r="N722" s="35">
        <f t="shared" si="22"/>
        <v>0</v>
      </c>
      <c r="O722" s="35">
        <f t="shared" si="23"/>
        <v>0</v>
      </c>
    </row>
    <row r="723" spans="14:15" s="9" customFormat="1" hidden="1" x14ac:dyDescent="0.25">
      <c r="N723" s="35">
        <f t="shared" si="22"/>
        <v>0</v>
      </c>
      <c r="O723" s="35">
        <f t="shared" si="23"/>
        <v>0</v>
      </c>
    </row>
    <row r="724" spans="14:15" s="9" customFormat="1" hidden="1" x14ac:dyDescent="0.25">
      <c r="N724" s="35">
        <f t="shared" si="22"/>
        <v>0</v>
      </c>
      <c r="O724" s="35">
        <f t="shared" si="23"/>
        <v>0</v>
      </c>
    </row>
    <row r="725" spans="14:15" s="9" customFormat="1" hidden="1" x14ac:dyDescent="0.25">
      <c r="N725" s="35">
        <f t="shared" si="22"/>
        <v>0</v>
      </c>
      <c r="O725" s="35">
        <f t="shared" si="23"/>
        <v>0</v>
      </c>
    </row>
    <row r="726" spans="14:15" s="9" customFormat="1" hidden="1" x14ac:dyDescent="0.25">
      <c r="N726" s="35">
        <f t="shared" si="22"/>
        <v>0</v>
      </c>
      <c r="O726" s="35">
        <f t="shared" si="23"/>
        <v>0</v>
      </c>
    </row>
    <row r="727" spans="14:15" s="9" customFormat="1" hidden="1" x14ac:dyDescent="0.25">
      <c r="N727" s="35">
        <f t="shared" si="22"/>
        <v>0</v>
      </c>
      <c r="O727" s="35">
        <f t="shared" si="23"/>
        <v>0</v>
      </c>
    </row>
    <row r="728" spans="14:15" s="9" customFormat="1" hidden="1" x14ac:dyDescent="0.25">
      <c r="N728" s="35">
        <f t="shared" si="22"/>
        <v>0</v>
      </c>
      <c r="O728" s="35">
        <f t="shared" si="23"/>
        <v>0</v>
      </c>
    </row>
    <row r="729" spans="14:15" s="9" customFormat="1" hidden="1" x14ac:dyDescent="0.25">
      <c r="N729" s="35">
        <f t="shared" si="22"/>
        <v>0</v>
      </c>
      <c r="O729" s="35">
        <f t="shared" si="23"/>
        <v>0</v>
      </c>
    </row>
    <row r="730" spans="14:15" s="9" customFormat="1" hidden="1" x14ac:dyDescent="0.25">
      <c r="N730" s="35">
        <f t="shared" si="22"/>
        <v>0</v>
      </c>
      <c r="O730" s="35">
        <f t="shared" si="23"/>
        <v>0</v>
      </c>
    </row>
    <row r="731" spans="14:15" s="9" customFormat="1" hidden="1" x14ac:dyDescent="0.25">
      <c r="N731" s="35">
        <f t="shared" si="22"/>
        <v>0</v>
      </c>
      <c r="O731" s="35">
        <f t="shared" si="23"/>
        <v>0</v>
      </c>
    </row>
    <row r="732" spans="14:15" s="9" customFormat="1" hidden="1" x14ac:dyDescent="0.25">
      <c r="N732" s="35">
        <f t="shared" si="22"/>
        <v>0</v>
      </c>
      <c r="O732" s="35">
        <f t="shared" si="23"/>
        <v>0</v>
      </c>
    </row>
    <row r="733" spans="14:15" s="9" customFormat="1" hidden="1" x14ac:dyDescent="0.25">
      <c r="N733" s="35">
        <f t="shared" si="22"/>
        <v>0</v>
      </c>
      <c r="O733" s="35">
        <f t="shared" si="23"/>
        <v>0</v>
      </c>
    </row>
    <row r="734" spans="14:15" s="9" customFormat="1" hidden="1" x14ac:dyDescent="0.25">
      <c r="N734" s="35">
        <f t="shared" si="22"/>
        <v>0</v>
      </c>
      <c r="O734" s="35">
        <f t="shared" si="23"/>
        <v>0</v>
      </c>
    </row>
    <row r="735" spans="14:15" s="9" customFormat="1" hidden="1" x14ac:dyDescent="0.25">
      <c r="N735" s="35">
        <f t="shared" si="22"/>
        <v>0</v>
      </c>
      <c r="O735" s="35">
        <f t="shared" si="23"/>
        <v>0</v>
      </c>
    </row>
    <row r="736" spans="14:15" s="9" customFormat="1" hidden="1" x14ac:dyDescent="0.25">
      <c r="N736" s="35">
        <f t="shared" si="22"/>
        <v>0</v>
      </c>
      <c r="O736" s="35">
        <f t="shared" si="23"/>
        <v>0</v>
      </c>
    </row>
    <row r="737" spans="14:15" s="9" customFormat="1" hidden="1" x14ac:dyDescent="0.25">
      <c r="N737" s="35">
        <f t="shared" si="22"/>
        <v>0</v>
      </c>
      <c r="O737" s="35">
        <f t="shared" si="23"/>
        <v>0</v>
      </c>
    </row>
    <row r="738" spans="14:15" s="9" customFormat="1" hidden="1" x14ac:dyDescent="0.25">
      <c r="N738" s="35">
        <f t="shared" si="22"/>
        <v>0</v>
      </c>
      <c r="O738" s="35">
        <f t="shared" si="23"/>
        <v>0</v>
      </c>
    </row>
    <row r="739" spans="14:15" s="9" customFormat="1" hidden="1" x14ac:dyDescent="0.25">
      <c r="N739" s="35">
        <f t="shared" si="22"/>
        <v>0</v>
      </c>
      <c r="O739" s="35">
        <f t="shared" si="23"/>
        <v>0</v>
      </c>
    </row>
    <row r="740" spans="14:15" s="9" customFormat="1" hidden="1" x14ac:dyDescent="0.25">
      <c r="N740" s="35">
        <f t="shared" si="22"/>
        <v>0</v>
      </c>
      <c r="O740" s="35">
        <f t="shared" si="23"/>
        <v>0</v>
      </c>
    </row>
    <row r="741" spans="14:15" s="9" customFormat="1" hidden="1" x14ac:dyDescent="0.25">
      <c r="N741" s="35">
        <f t="shared" si="22"/>
        <v>0</v>
      </c>
      <c r="O741" s="35">
        <f t="shared" si="23"/>
        <v>0</v>
      </c>
    </row>
    <row r="742" spans="14:15" s="9" customFormat="1" hidden="1" x14ac:dyDescent="0.25">
      <c r="N742" s="35">
        <f t="shared" si="22"/>
        <v>0</v>
      </c>
      <c r="O742" s="35">
        <f t="shared" si="23"/>
        <v>0</v>
      </c>
    </row>
    <row r="743" spans="14:15" s="9" customFormat="1" hidden="1" x14ac:dyDescent="0.25">
      <c r="N743" s="35">
        <f t="shared" si="22"/>
        <v>0</v>
      </c>
      <c r="O743" s="35">
        <f t="shared" si="23"/>
        <v>0</v>
      </c>
    </row>
    <row r="744" spans="14:15" s="9" customFormat="1" hidden="1" x14ac:dyDescent="0.25">
      <c r="N744" s="35">
        <f t="shared" si="22"/>
        <v>0</v>
      </c>
      <c r="O744" s="35">
        <f t="shared" si="23"/>
        <v>0</v>
      </c>
    </row>
    <row r="745" spans="14:15" s="9" customFormat="1" hidden="1" x14ac:dyDescent="0.25">
      <c r="N745" s="35">
        <f t="shared" si="22"/>
        <v>0</v>
      </c>
      <c r="O745" s="35">
        <f t="shared" si="23"/>
        <v>0</v>
      </c>
    </row>
    <row r="746" spans="14:15" s="9" customFormat="1" hidden="1" x14ac:dyDescent="0.25">
      <c r="N746" s="35">
        <f t="shared" si="22"/>
        <v>0</v>
      </c>
      <c r="O746" s="35">
        <f t="shared" si="23"/>
        <v>0</v>
      </c>
    </row>
    <row r="747" spans="14:15" s="9" customFormat="1" hidden="1" x14ac:dyDescent="0.25">
      <c r="N747" s="35">
        <f t="shared" si="22"/>
        <v>0</v>
      </c>
      <c r="O747" s="35">
        <f t="shared" si="23"/>
        <v>0</v>
      </c>
    </row>
    <row r="748" spans="14:15" s="9" customFormat="1" hidden="1" x14ac:dyDescent="0.25">
      <c r="N748" s="35">
        <f t="shared" si="22"/>
        <v>0</v>
      </c>
      <c r="O748" s="35">
        <f t="shared" si="23"/>
        <v>0</v>
      </c>
    </row>
    <row r="749" spans="14:15" s="9" customFormat="1" hidden="1" x14ac:dyDescent="0.25">
      <c r="N749" s="35">
        <f t="shared" si="22"/>
        <v>0</v>
      </c>
      <c r="O749" s="35">
        <f t="shared" si="23"/>
        <v>0</v>
      </c>
    </row>
    <row r="750" spans="14:15" s="9" customFormat="1" hidden="1" x14ac:dyDescent="0.25">
      <c r="N750" s="35">
        <f t="shared" si="22"/>
        <v>0</v>
      </c>
      <c r="O750" s="35">
        <f t="shared" si="23"/>
        <v>0</v>
      </c>
    </row>
    <row r="751" spans="14:15" s="9" customFormat="1" hidden="1" x14ac:dyDescent="0.25">
      <c r="N751" s="35">
        <f t="shared" si="22"/>
        <v>0</v>
      </c>
      <c r="O751" s="35">
        <f t="shared" si="23"/>
        <v>0</v>
      </c>
    </row>
    <row r="752" spans="14:15" s="9" customFormat="1" hidden="1" x14ac:dyDescent="0.25">
      <c r="N752" s="35">
        <f t="shared" si="22"/>
        <v>0</v>
      </c>
      <c r="O752" s="35">
        <f t="shared" si="23"/>
        <v>0</v>
      </c>
    </row>
    <row r="753" spans="14:15" s="9" customFormat="1" hidden="1" x14ac:dyDescent="0.25">
      <c r="N753" s="35">
        <f t="shared" si="22"/>
        <v>0</v>
      </c>
      <c r="O753" s="35">
        <f t="shared" si="23"/>
        <v>0</v>
      </c>
    </row>
    <row r="754" spans="14:15" s="9" customFormat="1" hidden="1" x14ac:dyDescent="0.25">
      <c r="N754" s="35">
        <f t="shared" si="22"/>
        <v>0</v>
      </c>
      <c r="O754" s="35">
        <f t="shared" si="23"/>
        <v>0</v>
      </c>
    </row>
    <row r="755" spans="14:15" s="9" customFormat="1" hidden="1" x14ac:dyDescent="0.25">
      <c r="N755" s="35">
        <f t="shared" si="22"/>
        <v>0</v>
      </c>
      <c r="O755" s="35">
        <f t="shared" si="23"/>
        <v>0</v>
      </c>
    </row>
    <row r="756" spans="14:15" s="9" customFormat="1" hidden="1" x14ac:dyDescent="0.25">
      <c r="N756" s="35">
        <f t="shared" si="22"/>
        <v>0</v>
      </c>
      <c r="O756" s="35">
        <f t="shared" si="23"/>
        <v>0</v>
      </c>
    </row>
    <row r="757" spans="14:15" s="9" customFormat="1" hidden="1" x14ac:dyDescent="0.25">
      <c r="N757" s="35">
        <f t="shared" si="22"/>
        <v>0</v>
      </c>
      <c r="O757" s="35">
        <f t="shared" si="23"/>
        <v>0</v>
      </c>
    </row>
    <row r="758" spans="14:15" s="9" customFormat="1" hidden="1" x14ac:dyDescent="0.25">
      <c r="N758" s="35">
        <f t="shared" si="22"/>
        <v>0</v>
      </c>
      <c r="O758" s="35">
        <f t="shared" si="23"/>
        <v>0</v>
      </c>
    </row>
    <row r="759" spans="14:15" s="9" customFormat="1" hidden="1" x14ac:dyDescent="0.25">
      <c r="N759" s="35">
        <f t="shared" si="22"/>
        <v>0</v>
      </c>
      <c r="O759" s="35">
        <f t="shared" si="23"/>
        <v>0</v>
      </c>
    </row>
    <row r="760" spans="14:15" s="9" customFormat="1" hidden="1" x14ac:dyDescent="0.25">
      <c r="N760" s="35">
        <f t="shared" si="22"/>
        <v>0</v>
      </c>
      <c r="O760" s="35">
        <f t="shared" si="23"/>
        <v>0</v>
      </c>
    </row>
    <row r="761" spans="14:15" s="9" customFormat="1" hidden="1" x14ac:dyDescent="0.25">
      <c r="N761" s="35">
        <f t="shared" si="22"/>
        <v>0</v>
      </c>
      <c r="O761" s="35">
        <f t="shared" si="23"/>
        <v>0</v>
      </c>
    </row>
    <row r="762" spans="14:15" s="9" customFormat="1" hidden="1" x14ac:dyDescent="0.25">
      <c r="N762" s="35">
        <f t="shared" si="22"/>
        <v>0</v>
      </c>
      <c r="O762" s="35">
        <f t="shared" si="23"/>
        <v>0</v>
      </c>
    </row>
    <row r="763" spans="14:15" s="9" customFormat="1" hidden="1" x14ac:dyDescent="0.25">
      <c r="N763" s="35">
        <f t="shared" si="22"/>
        <v>0</v>
      </c>
      <c r="O763" s="35">
        <f t="shared" si="23"/>
        <v>0</v>
      </c>
    </row>
    <row r="764" spans="14:15" s="9" customFormat="1" hidden="1" x14ac:dyDescent="0.25">
      <c r="N764" s="35">
        <f t="shared" si="22"/>
        <v>0</v>
      </c>
      <c r="O764" s="35">
        <f t="shared" si="23"/>
        <v>0</v>
      </c>
    </row>
    <row r="765" spans="14:15" s="9" customFormat="1" hidden="1" x14ac:dyDescent="0.25">
      <c r="N765" s="35">
        <f t="shared" si="22"/>
        <v>0</v>
      </c>
      <c r="O765" s="35">
        <f t="shared" si="23"/>
        <v>0</v>
      </c>
    </row>
    <row r="766" spans="14:15" s="9" customFormat="1" hidden="1" x14ac:dyDescent="0.25">
      <c r="N766" s="35">
        <f t="shared" si="22"/>
        <v>0</v>
      </c>
      <c r="O766" s="35">
        <f t="shared" si="23"/>
        <v>0</v>
      </c>
    </row>
    <row r="767" spans="14:15" s="9" customFormat="1" hidden="1" x14ac:dyDescent="0.25">
      <c r="N767" s="35">
        <f t="shared" si="22"/>
        <v>0</v>
      </c>
      <c r="O767" s="35">
        <f t="shared" si="23"/>
        <v>0</v>
      </c>
    </row>
    <row r="768" spans="14:15" s="9" customFormat="1" hidden="1" x14ac:dyDescent="0.25">
      <c r="N768" s="35">
        <f t="shared" si="22"/>
        <v>0</v>
      </c>
      <c r="O768" s="35">
        <f t="shared" si="23"/>
        <v>0</v>
      </c>
    </row>
    <row r="769" spans="14:15" s="9" customFormat="1" hidden="1" x14ac:dyDescent="0.25">
      <c r="N769" s="35">
        <f t="shared" si="22"/>
        <v>0</v>
      </c>
      <c r="O769" s="35">
        <f t="shared" si="23"/>
        <v>0</v>
      </c>
    </row>
    <row r="770" spans="14:15" s="9" customFormat="1" hidden="1" x14ac:dyDescent="0.25">
      <c r="N770" s="35">
        <f t="shared" si="22"/>
        <v>0</v>
      </c>
      <c r="O770" s="35">
        <f t="shared" si="23"/>
        <v>0</v>
      </c>
    </row>
    <row r="771" spans="14:15" s="9" customFormat="1" hidden="1" x14ac:dyDescent="0.25">
      <c r="N771" s="35">
        <f t="shared" si="22"/>
        <v>0</v>
      </c>
      <c r="O771" s="35">
        <f t="shared" si="23"/>
        <v>0</v>
      </c>
    </row>
    <row r="772" spans="14:15" s="9" customFormat="1" hidden="1" x14ac:dyDescent="0.25">
      <c r="N772" s="35">
        <f t="shared" si="22"/>
        <v>0</v>
      </c>
      <c r="O772" s="35">
        <f t="shared" si="23"/>
        <v>0</v>
      </c>
    </row>
    <row r="773" spans="14:15" s="9" customFormat="1" hidden="1" x14ac:dyDescent="0.25">
      <c r="N773" s="35">
        <f t="shared" si="22"/>
        <v>0</v>
      </c>
      <c r="O773" s="35">
        <f t="shared" si="23"/>
        <v>0</v>
      </c>
    </row>
    <row r="774" spans="14:15" s="9" customFormat="1" hidden="1" x14ac:dyDescent="0.25">
      <c r="N774" s="35">
        <f t="shared" si="22"/>
        <v>0</v>
      </c>
      <c r="O774" s="35">
        <f t="shared" si="23"/>
        <v>0</v>
      </c>
    </row>
    <row r="775" spans="14:15" s="9" customFormat="1" hidden="1" x14ac:dyDescent="0.25">
      <c r="N775" s="35">
        <f t="shared" si="22"/>
        <v>0</v>
      </c>
      <c r="O775" s="35">
        <f t="shared" si="23"/>
        <v>0</v>
      </c>
    </row>
    <row r="776" spans="14:15" s="9" customFormat="1" hidden="1" x14ac:dyDescent="0.25">
      <c r="N776" s="35">
        <f t="shared" si="22"/>
        <v>0</v>
      </c>
      <c r="O776" s="35">
        <f t="shared" si="23"/>
        <v>0</v>
      </c>
    </row>
    <row r="777" spans="14:15" s="9" customFormat="1" hidden="1" x14ac:dyDescent="0.25">
      <c r="N777" s="35">
        <f t="shared" si="22"/>
        <v>0</v>
      </c>
      <c r="O777" s="35">
        <f t="shared" si="23"/>
        <v>0</v>
      </c>
    </row>
    <row r="778" spans="14:15" s="9" customFormat="1" hidden="1" x14ac:dyDescent="0.25">
      <c r="N778" s="35">
        <f t="shared" si="22"/>
        <v>0</v>
      </c>
      <c r="O778" s="35">
        <f t="shared" si="23"/>
        <v>0</v>
      </c>
    </row>
    <row r="779" spans="14:15" s="9" customFormat="1" hidden="1" x14ac:dyDescent="0.25">
      <c r="N779" s="35">
        <f t="shared" si="22"/>
        <v>0</v>
      </c>
      <c r="O779" s="35">
        <f t="shared" si="23"/>
        <v>0</v>
      </c>
    </row>
    <row r="780" spans="14:15" s="9" customFormat="1" hidden="1" x14ac:dyDescent="0.25">
      <c r="N780" s="35">
        <f t="shared" ref="N780:N843" si="24">MAX(0,D780)</f>
        <v>0</v>
      </c>
      <c r="O780" s="35">
        <f t="shared" ref="O780:O843" si="25">MAX(0,F780)</f>
        <v>0</v>
      </c>
    </row>
    <row r="781" spans="14:15" s="9" customFormat="1" hidden="1" x14ac:dyDescent="0.25">
      <c r="N781" s="35">
        <f t="shared" si="24"/>
        <v>0</v>
      </c>
      <c r="O781" s="35">
        <f t="shared" si="25"/>
        <v>0</v>
      </c>
    </row>
    <row r="782" spans="14:15" s="9" customFormat="1" hidden="1" x14ac:dyDescent="0.25">
      <c r="N782" s="35">
        <f t="shared" si="24"/>
        <v>0</v>
      </c>
      <c r="O782" s="35">
        <f t="shared" si="25"/>
        <v>0</v>
      </c>
    </row>
    <row r="783" spans="14:15" s="9" customFormat="1" hidden="1" x14ac:dyDescent="0.25">
      <c r="N783" s="35">
        <f t="shared" si="24"/>
        <v>0</v>
      </c>
      <c r="O783" s="35">
        <f t="shared" si="25"/>
        <v>0</v>
      </c>
    </row>
    <row r="784" spans="14:15" s="9" customFormat="1" hidden="1" x14ac:dyDescent="0.25">
      <c r="N784" s="35">
        <f t="shared" si="24"/>
        <v>0</v>
      </c>
      <c r="O784" s="35">
        <f t="shared" si="25"/>
        <v>0</v>
      </c>
    </row>
    <row r="785" spans="14:15" s="9" customFormat="1" hidden="1" x14ac:dyDescent="0.25">
      <c r="N785" s="35">
        <f t="shared" si="24"/>
        <v>0</v>
      </c>
      <c r="O785" s="35">
        <f t="shared" si="25"/>
        <v>0</v>
      </c>
    </row>
    <row r="786" spans="14:15" s="9" customFormat="1" hidden="1" x14ac:dyDescent="0.25">
      <c r="N786" s="35">
        <f t="shared" si="24"/>
        <v>0</v>
      </c>
      <c r="O786" s="35">
        <f t="shared" si="25"/>
        <v>0</v>
      </c>
    </row>
    <row r="787" spans="14:15" s="9" customFormat="1" hidden="1" x14ac:dyDescent="0.25">
      <c r="N787" s="35">
        <f t="shared" si="24"/>
        <v>0</v>
      </c>
      <c r="O787" s="35">
        <f t="shared" si="25"/>
        <v>0</v>
      </c>
    </row>
    <row r="788" spans="14:15" s="9" customFormat="1" hidden="1" x14ac:dyDescent="0.25">
      <c r="N788" s="35">
        <f t="shared" si="24"/>
        <v>0</v>
      </c>
      <c r="O788" s="35">
        <f t="shared" si="25"/>
        <v>0</v>
      </c>
    </row>
    <row r="789" spans="14:15" s="9" customFormat="1" hidden="1" x14ac:dyDescent="0.25">
      <c r="N789" s="35">
        <f t="shared" si="24"/>
        <v>0</v>
      </c>
      <c r="O789" s="35">
        <f t="shared" si="25"/>
        <v>0</v>
      </c>
    </row>
    <row r="790" spans="14:15" s="9" customFormat="1" hidden="1" x14ac:dyDescent="0.25">
      <c r="N790" s="35">
        <f t="shared" si="24"/>
        <v>0</v>
      </c>
      <c r="O790" s="35">
        <f t="shared" si="25"/>
        <v>0</v>
      </c>
    </row>
    <row r="791" spans="14:15" s="9" customFormat="1" hidden="1" x14ac:dyDescent="0.25">
      <c r="N791" s="35">
        <f t="shared" si="24"/>
        <v>0</v>
      </c>
      <c r="O791" s="35">
        <f t="shared" si="25"/>
        <v>0</v>
      </c>
    </row>
    <row r="792" spans="14:15" s="9" customFormat="1" hidden="1" x14ac:dyDescent="0.25">
      <c r="N792" s="35">
        <f t="shared" si="24"/>
        <v>0</v>
      </c>
      <c r="O792" s="35">
        <f t="shared" si="25"/>
        <v>0</v>
      </c>
    </row>
    <row r="793" spans="14:15" s="9" customFormat="1" hidden="1" x14ac:dyDescent="0.25">
      <c r="N793" s="35">
        <f t="shared" si="24"/>
        <v>0</v>
      </c>
      <c r="O793" s="35">
        <f t="shared" si="25"/>
        <v>0</v>
      </c>
    </row>
    <row r="794" spans="14:15" s="9" customFormat="1" hidden="1" x14ac:dyDescent="0.25">
      <c r="N794" s="35">
        <f t="shared" si="24"/>
        <v>0</v>
      </c>
      <c r="O794" s="35">
        <f t="shared" si="25"/>
        <v>0</v>
      </c>
    </row>
    <row r="795" spans="14:15" s="9" customFormat="1" hidden="1" x14ac:dyDescent="0.25">
      <c r="N795" s="35">
        <f t="shared" si="24"/>
        <v>0</v>
      </c>
      <c r="O795" s="35">
        <f t="shared" si="25"/>
        <v>0</v>
      </c>
    </row>
    <row r="796" spans="14:15" s="9" customFormat="1" hidden="1" x14ac:dyDescent="0.25">
      <c r="N796" s="35">
        <f t="shared" si="24"/>
        <v>0</v>
      </c>
      <c r="O796" s="35">
        <f t="shared" si="25"/>
        <v>0</v>
      </c>
    </row>
    <row r="797" spans="14:15" s="9" customFormat="1" hidden="1" x14ac:dyDescent="0.25">
      <c r="N797" s="35">
        <f t="shared" si="24"/>
        <v>0</v>
      </c>
      <c r="O797" s="35">
        <f t="shared" si="25"/>
        <v>0</v>
      </c>
    </row>
    <row r="798" spans="14:15" s="9" customFormat="1" hidden="1" x14ac:dyDescent="0.25">
      <c r="N798" s="35">
        <f t="shared" si="24"/>
        <v>0</v>
      </c>
      <c r="O798" s="35">
        <f t="shared" si="25"/>
        <v>0</v>
      </c>
    </row>
    <row r="799" spans="14:15" s="9" customFormat="1" hidden="1" x14ac:dyDescent="0.25">
      <c r="N799" s="35">
        <f t="shared" si="24"/>
        <v>0</v>
      </c>
      <c r="O799" s="35">
        <f t="shared" si="25"/>
        <v>0</v>
      </c>
    </row>
    <row r="800" spans="14:15" s="9" customFormat="1" hidden="1" x14ac:dyDescent="0.25">
      <c r="N800" s="35">
        <f t="shared" si="24"/>
        <v>0</v>
      </c>
      <c r="O800" s="35">
        <f t="shared" si="25"/>
        <v>0</v>
      </c>
    </row>
    <row r="801" spans="14:15" s="9" customFormat="1" hidden="1" x14ac:dyDescent="0.25">
      <c r="N801" s="35">
        <f t="shared" si="24"/>
        <v>0</v>
      </c>
      <c r="O801" s="35">
        <f t="shared" si="25"/>
        <v>0</v>
      </c>
    </row>
    <row r="802" spans="14:15" s="9" customFormat="1" hidden="1" x14ac:dyDescent="0.25">
      <c r="N802" s="35">
        <f t="shared" si="24"/>
        <v>0</v>
      </c>
      <c r="O802" s="35">
        <f t="shared" si="25"/>
        <v>0</v>
      </c>
    </row>
    <row r="803" spans="14:15" s="9" customFormat="1" hidden="1" x14ac:dyDescent="0.25">
      <c r="N803" s="35">
        <f t="shared" si="24"/>
        <v>0</v>
      </c>
      <c r="O803" s="35">
        <f t="shared" si="25"/>
        <v>0</v>
      </c>
    </row>
    <row r="804" spans="14:15" s="9" customFormat="1" hidden="1" x14ac:dyDescent="0.25">
      <c r="N804" s="35">
        <f t="shared" si="24"/>
        <v>0</v>
      </c>
      <c r="O804" s="35">
        <f t="shared" si="25"/>
        <v>0</v>
      </c>
    </row>
    <row r="805" spans="14:15" s="9" customFormat="1" hidden="1" x14ac:dyDescent="0.25">
      <c r="N805" s="35">
        <f t="shared" si="24"/>
        <v>0</v>
      </c>
      <c r="O805" s="35">
        <f t="shared" si="25"/>
        <v>0</v>
      </c>
    </row>
    <row r="806" spans="14:15" s="9" customFormat="1" hidden="1" x14ac:dyDescent="0.25">
      <c r="N806" s="35">
        <f t="shared" si="24"/>
        <v>0</v>
      </c>
      <c r="O806" s="35">
        <f t="shared" si="25"/>
        <v>0</v>
      </c>
    </row>
    <row r="807" spans="14:15" s="9" customFormat="1" hidden="1" x14ac:dyDescent="0.25">
      <c r="N807" s="35">
        <f t="shared" si="24"/>
        <v>0</v>
      </c>
      <c r="O807" s="35">
        <f t="shared" si="25"/>
        <v>0</v>
      </c>
    </row>
    <row r="808" spans="14:15" s="9" customFormat="1" hidden="1" x14ac:dyDescent="0.25">
      <c r="N808" s="35">
        <f t="shared" si="24"/>
        <v>0</v>
      </c>
      <c r="O808" s="35">
        <f t="shared" si="25"/>
        <v>0</v>
      </c>
    </row>
    <row r="809" spans="14:15" s="9" customFormat="1" hidden="1" x14ac:dyDescent="0.25">
      <c r="N809" s="35">
        <f t="shared" si="24"/>
        <v>0</v>
      </c>
      <c r="O809" s="35">
        <f t="shared" si="25"/>
        <v>0</v>
      </c>
    </row>
    <row r="810" spans="14:15" s="9" customFormat="1" hidden="1" x14ac:dyDescent="0.25">
      <c r="N810" s="35">
        <f t="shared" si="24"/>
        <v>0</v>
      </c>
      <c r="O810" s="35">
        <f t="shared" si="25"/>
        <v>0</v>
      </c>
    </row>
    <row r="811" spans="14:15" s="9" customFormat="1" hidden="1" x14ac:dyDescent="0.25">
      <c r="N811" s="35">
        <f t="shared" si="24"/>
        <v>0</v>
      </c>
      <c r="O811" s="35">
        <f t="shared" si="25"/>
        <v>0</v>
      </c>
    </row>
    <row r="812" spans="14:15" s="9" customFormat="1" hidden="1" x14ac:dyDescent="0.25">
      <c r="N812" s="35">
        <f t="shared" si="24"/>
        <v>0</v>
      </c>
      <c r="O812" s="35">
        <f t="shared" si="25"/>
        <v>0</v>
      </c>
    </row>
    <row r="813" spans="14:15" s="9" customFormat="1" hidden="1" x14ac:dyDescent="0.25">
      <c r="N813" s="35">
        <f t="shared" si="24"/>
        <v>0</v>
      </c>
      <c r="O813" s="35">
        <f t="shared" si="25"/>
        <v>0</v>
      </c>
    </row>
    <row r="814" spans="14:15" s="9" customFormat="1" hidden="1" x14ac:dyDescent="0.25">
      <c r="N814" s="35">
        <f t="shared" si="24"/>
        <v>0</v>
      </c>
      <c r="O814" s="35">
        <f t="shared" si="25"/>
        <v>0</v>
      </c>
    </row>
    <row r="815" spans="14:15" s="9" customFormat="1" hidden="1" x14ac:dyDescent="0.25">
      <c r="N815" s="35">
        <f t="shared" si="24"/>
        <v>0</v>
      </c>
      <c r="O815" s="35">
        <f t="shared" si="25"/>
        <v>0</v>
      </c>
    </row>
    <row r="816" spans="14:15" s="9" customFormat="1" hidden="1" x14ac:dyDescent="0.25">
      <c r="N816" s="35">
        <f t="shared" si="24"/>
        <v>0</v>
      </c>
      <c r="O816" s="35">
        <f t="shared" si="25"/>
        <v>0</v>
      </c>
    </row>
    <row r="817" spans="14:15" s="9" customFormat="1" hidden="1" x14ac:dyDescent="0.25">
      <c r="N817" s="35">
        <f t="shared" si="24"/>
        <v>0</v>
      </c>
      <c r="O817" s="35">
        <f t="shared" si="25"/>
        <v>0</v>
      </c>
    </row>
    <row r="818" spans="14:15" s="9" customFormat="1" hidden="1" x14ac:dyDescent="0.25">
      <c r="N818" s="35">
        <f t="shared" si="24"/>
        <v>0</v>
      </c>
      <c r="O818" s="35">
        <f t="shared" si="25"/>
        <v>0</v>
      </c>
    </row>
    <row r="819" spans="14:15" s="9" customFormat="1" hidden="1" x14ac:dyDescent="0.25">
      <c r="N819" s="35">
        <f t="shared" si="24"/>
        <v>0</v>
      </c>
      <c r="O819" s="35">
        <f t="shared" si="25"/>
        <v>0</v>
      </c>
    </row>
    <row r="820" spans="14:15" s="9" customFormat="1" hidden="1" x14ac:dyDescent="0.25">
      <c r="N820" s="35">
        <f t="shared" si="24"/>
        <v>0</v>
      </c>
      <c r="O820" s="35">
        <f t="shared" si="25"/>
        <v>0</v>
      </c>
    </row>
    <row r="821" spans="14:15" s="9" customFormat="1" hidden="1" x14ac:dyDescent="0.25">
      <c r="N821" s="35">
        <f t="shared" si="24"/>
        <v>0</v>
      </c>
      <c r="O821" s="35">
        <f t="shared" si="25"/>
        <v>0</v>
      </c>
    </row>
    <row r="822" spans="14:15" s="9" customFormat="1" hidden="1" x14ac:dyDescent="0.25">
      <c r="N822" s="35">
        <f t="shared" si="24"/>
        <v>0</v>
      </c>
      <c r="O822" s="35">
        <f t="shared" si="25"/>
        <v>0</v>
      </c>
    </row>
    <row r="823" spans="14:15" s="9" customFormat="1" hidden="1" x14ac:dyDescent="0.25">
      <c r="N823" s="35">
        <f t="shared" si="24"/>
        <v>0</v>
      </c>
      <c r="O823" s="35">
        <f t="shared" si="25"/>
        <v>0</v>
      </c>
    </row>
    <row r="824" spans="14:15" s="9" customFormat="1" hidden="1" x14ac:dyDescent="0.25">
      <c r="N824" s="35">
        <f t="shared" si="24"/>
        <v>0</v>
      </c>
      <c r="O824" s="35">
        <f t="shared" si="25"/>
        <v>0</v>
      </c>
    </row>
    <row r="825" spans="14:15" s="9" customFormat="1" hidden="1" x14ac:dyDescent="0.25">
      <c r="N825" s="35">
        <f t="shared" si="24"/>
        <v>0</v>
      </c>
      <c r="O825" s="35">
        <f t="shared" si="25"/>
        <v>0</v>
      </c>
    </row>
    <row r="826" spans="14:15" s="9" customFormat="1" hidden="1" x14ac:dyDescent="0.25">
      <c r="N826" s="35">
        <f t="shared" si="24"/>
        <v>0</v>
      </c>
      <c r="O826" s="35">
        <f t="shared" si="25"/>
        <v>0</v>
      </c>
    </row>
    <row r="827" spans="14:15" s="9" customFormat="1" hidden="1" x14ac:dyDescent="0.25">
      <c r="N827" s="35">
        <f t="shared" si="24"/>
        <v>0</v>
      </c>
      <c r="O827" s="35">
        <f t="shared" si="25"/>
        <v>0</v>
      </c>
    </row>
    <row r="828" spans="14:15" s="9" customFormat="1" hidden="1" x14ac:dyDescent="0.25">
      <c r="N828" s="35">
        <f t="shared" si="24"/>
        <v>0</v>
      </c>
      <c r="O828" s="35">
        <f t="shared" si="25"/>
        <v>0</v>
      </c>
    </row>
    <row r="829" spans="14:15" s="9" customFormat="1" hidden="1" x14ac:dyDescent="0.25">
      <c r="N829" s="35">
        <f t="shared" si="24"/>
        <v>0</v>
      </c>
      <c r="O829" s="35">
        <f t="shared" si="25"/>
        <v>0</v>
      </c>
    </row>
    <row r="830" spans="14:15" s="9" customFormat="1" hidden="1" x14ac:dyDescent="0.25">
      <c r="N830" s="35">
        <f t="shared" si="24"/>
        <v>0</v>
      </c>
      <c r="O830" s="35">
        <f t="shared" si="25"/>
        <v>0</v>
      </c>
    </row>
    <row r="831" spans="14:15" s="9" customFormat="1" hidden="1" x14ac:dyDescent="0.25">
      <c r="N831" s="35">
        <f t="shared" si="24"/>
        <v>0</v>
      </c>
      <c r="O831" s="35">
        <f t="shared" si="25"/>
        <v>0</v>
      </c>
    </row>
    <row r="832" spans="14:15" s="9" customFormat="1" hidden="1" x14ac:dyDescent="0.25">
      <c r="N832" s="35">
        <f t="shared" si="24"/>
        <v>0</v>
      </c>
      <c r="O832" s="35">
        <f t="shared" si="25"/>
        <v>0</v>
      </c>
    </row>
    <row r="833" spans="14:15" s="9" customFormat="1" hidden="1" x14ac:dyDescent="0.25">
      <c r="N833" s="35">
        <f t="shared" si="24"/>
        <v>0</v>
      </c>
      <c r="O833" s="35">
        <f t="shared" si="25"/>
        <v>0</v>
      </c>
    </row>
    <row r="834" spans="14:15" s="9" customFormat="1" hidden="1" x14ac:dyDescent="0.25">
      <c r="N834" s="35">
        <f t="shared" si="24"/>
        <v>0</v>
      </c>
      <c r="O834" s="35">
        <f t="shared" si="25"/>
        <v>0</v>
      </c>
    </row>
    <row r="835" spans="14:15" s="9" customFormat="1" hidden="1" x14ac:dyDescent="0.25">
      <c r="N835" s="35">
        <f t="shared" si="24"/>
        <v>0</v>
      </c>
      <c r="O835" s="35">
        <f t="shared" si="25"/>
        <v>0</v>
      </c>
    </row>
    <row r="836" spans="14:15" s="9" customFormat="1" hidden="1" x14ac:dyDescent="0.25">
      <c r="N836" s="35">
        <f t="shared" si="24"/>
        <v>0</v>
      </c>
      <c r="O836" s="35">
        <f t="shared" si="25"/>
        <v>0</v>
      </c>
    </row>
    <row r="837" spans="14:15" s="9" customFormat="1" hidden="1" x14ac:dyDescent="0.25">
      <c r="N837" s="35">
        <f t="shared" si="24"/>
        <v>0</v>
      </c>
      <c r="O837" s="35">
        <f t="shared" si="25"/>
        <v>0</v>
      </c>
    </row>
    <row r="838" spans="14:15" s="9" customFormat="1" hidden="1" x14ac:dyDescent="0.25">
      <c r="N838" s="35">
        <f t="shared" si="24"/>
        <v>0</v>
      </c>
      <c r="O838" s="35">
        <f t="shared" si="25"/>
        <v>0</v>
      </c>
    </row>
    <row r="839" spans="14:15" s="9" customFormat="1" hidden="1" x14ac:dyDescent="0.25">
      <c r="N839" s="35">
        <f t="shared" si="24"/>
        <v>0</v>
      </c>
      <c r="O839" s="35">
        <f t="shared" si="25"/>
        <v>0</v>
      </c>
    </row>
    <row r="840" spans="14:15" s="9" customFormat="1" hidden="1" x14ac:dyDescent="0.25">
      <c r="N840" s="35">
        <f t="shared" si="24"/>
        <v>0</v>
      </c>
      <c r="O840" s="35">
        <f t="shared" si="25"/>
        <v>0</v>
      </c>
    </row>
    <row r="841" spans="14:15" s="9" customFormat="1" hidden="1" x14ac:dyDescent="0.25">
      <c r="N841" s="35">
        <f t="shared" si="24"/>
        <v>0</v>
      </c>
      <c r="O841" s="35">
        <f t="shared" si="25"/>
        <v>0</v>
      </c>
    </row>
    <row r="842" spans="14:15" s="9" customFormat="1" hidden="1" x14ac:dyDescent="0.25">
      <c r="N842" s="35">
        <f t="shared" si="24"/>
        <v>0</v>
      </c>
      <c r="O842" s="35">
        <f t="shared" si="25"/>
        <v>0</v>
      </c>
    </row>
    <row r="843" spans="14:15" s="9" customFormat="1" hidden="1" x14ac:dyDescent="0.25">
      <c r="N843" s="35">
        <f t="shared" si="24"/>
        <v>0</v>
      </c>
      <c r="O843" s="35">
        <f t="shared" si="25"/>
        <v>0</v>
      </c>
    </row>
    <row r="844" spans="14:15" s="9" customFormat="1" hidden="1" x14ac:dyDescent="0.25">
      <c r="N844" s="35">
        <f t="shared" ref="N844:N907" si="26">MAX(0,D844)</f>
        <v>0</v>
      </c>
      <c r="O844" s="35">
        <f t="shared" ref="O844:O907" si="27">MAX(0,F844)</f>
        <v>0</v>
      </c>
    </row>
    <row r="845" spans="14:15" s="9" customFormat="1" hidden="1" x14ac:dyDescent="0.25">
      <c r="N845" s="35">
        <f t="shared" si="26"/>
        <v>0</v>
      </c>
      <c r="O845" s="35">
        <f t="shared" si="27"/>
        <v>0</v>
      </c>
    </row>
    <row r="846" spans="14:15" s="9" customFormat="1" hidden="1" x14ac:dyDescent="0.25">
      <c r="N846" s="35">
        <f t="shared" si="26"/>
        <v>0</v>
      </c>
      <c r="O846" s="35">
        <f t="shared" si="27"/>
        <v>0</v>
      </c>
    </row>
    <row r="847" spans="14:15" s="9" customFormat="1" hidden="1" x14ac:dyDescent="0.25">
      <c r="N847" s="35">
        <f t="shared" si="26"/>
        <v>0</v>
      </c>
      <c r="O847" s="35">
        <f t="shared" si="27"/>
        <v>0</v>
      </c>
    </row>
    <row r="848" spans="14:15" s="9" customFormat="1" hidden="1" x14ac:dyDescent="0.25">
      <c r="N848" s="35">
        <f t="shared" si="26"/>
        <v>0</v>
      </c>
      <c r="O848" s="35">
        <f t="shared" si="27"/>
        <v>0</v>
      </c>
    </row>
    <row r="849" spans="14:15" s="9" customFormat="1" hidden="1" x14ac:dyDescent="0.25">
      <c r="N849" s="35">
        <f t="shared" si="26"/>
        <v>0</v>
      </c>
      <c r="O849" s="35">
        <f t="shared" si="27"/>
        <v>0</v>
      </c>
    </row>
    <row r="850" spans="14:15" s="9" customFormat="1" hidden="1" x14ac:dyDescent="0.25">
      <c r="N850" s="35">
        <f t="shared" si="26"/>
        <v>0</v>
      </c>
      <c r="O850" s="35">
        <f t="shared" si="27"/>
        <v>0</v>
      </c>
    </row>
    <row r="851" spans="14:15" s="9" customFormat="1" hidden="1" x14ac:dyDescent="0.25">
      <c r="N851" s="35">
        <f t="shared" si="26"/>
        <v>0</v>
      </c>
      <c r="O851" s="35">
        <f t="shared" si="27"/>
        <v>0</v>
      </c>
    </row>
    <row r="852" spans="14:15" s="9" customFormat="1" hidden="1" x14ac:dyDescent="0.25">
      <c r="N852" s="35">
        <f t="shared" si="26"/>
        <v>0</v>
      </c>
      <c r="O852" s="35">
        <f t="shared" si="27"/>
        <v>0</v>
      </c>
    </row>
    <row r="853" spans="14:15" s="9" customFormat="1" hidden="1" x14ac:dyDescent="0.25">
      <c r="N853" s="35">
        <f t="shared" si="26"/>
        <v>0</v>
      </c>
      <c r="O853" s="35">
        <f t="shared" si="27"/>
        <v>0</v>
      </c>
    </row>
    <row r="854" spans="14:15" s="9" customFormat="1" hidden="1" x14ac:dyDescent="0.25">
      <c r="N854" s="35">
        <f t="shared" si="26"/>
        <v>0</v>
      </c>
      <c r="O854" s="35">
        <f t="shared" si="27"/>
        <v>0</v>
      </c>
    </row>
    <row r="855" spans="14:15" s="9" customFormat="1" hidden="1" x14ac:dyDescent="0.25">
      <c r="N855" s="35">
        <f t="shared" si="26"/>
        <v>0</v>
      </c>
      <c r="O855" s="35">
        <f t="shared" si="27"/>
        <v>0</v>
      </c>
    </row>
    <row r="856" spans="14:15" s="9" customFormat="1" hidden="1" x14ac:dyDescent="0.25">
      <c r="N856" s="35">
        <f t="shared" si="26"/>
        <v>0</v>
      </c>
      <c r="O856" s="35">
        <f t="shared" si="27"/>
        <v>0</v>
      </c>
    </row>
    <row r="857" spans="14:15" s="9" customFormat="1" hidden="1" x14ac:dyDescent="0.25">
      <c r="N857" s="35">
        <f t="shared" si="26"/>
        <v>0</v>
      </c>
      <c r="O857" s="35">
        <f t="shared" si="27"/>
        <v>0</v>
      </c>
    </row>
    <row r="858" spans="14:15" s="9" customFormat="1" hidden="1" x14ac:dyDescent="0.25">
      <c r="N858" s="35">
        <f t="shared" si="26"/>
        <v>0</v>
      </c>
      <c r="O858" s="35">
        <f t="shared" si="27"/>
        <v>0</v>
      </c>
    </row>
    <row r="859" spans="14:15" s="9" customFormat="1" hidden="1" x14ac:dyDescent="0.25">
      <c r="N859" s="35">
        <f t="shared" si="26"/>
        <v>0</v>
      </c>
      <c r="O859" s="35">
        <f t="shared" si="27"/>
        <v>0</v>
      </c>
    </row>
    <row r="860" spans="14:15" s="9" customFormat="1" hidden="1" x14ac:dyDescent="0.25">
      <c r="N860" s="35">
        <f t="shared" si="26"/>
        <v>0</v>
      </c>
      <c r="O860" s="35">
        <f t="shared" si="27"/>
        <v>0</v>
      </c>
    </row>
    <row r="861" spans="14:15" s="9" customFormat="1" hidden="1" x14ac:dyDescent="0.25">
      <c r="N861" s="35">
        <f t="shared" si="26"/>
        <v>0</v>
      </c>
      <c r="O861" s="35">
        <f t="shared" si="27"/>
        <v>0</v>
      </c>
    </row>
    <row r="862" spans="14:15" s="9" customFormat="1" hidden="1" x14ac:dyDescent="0.25">
      <c r="N862" s="35">
        <f t="shared" si="26"/>
        <v>0</v>
      </c>
      <c r="O862" s="35">
        <f t="shared" si="27"/>
        <v>0</v>
      </c>
    </row>
    <row r="863" spans="14:15" s="9" customFormat="1" hidden="1" x14ac:dyDescent="0.25">
      <c r="N863" s="35">
        <f t="shared" si="26"/>
        <v>0</v>
      </c>
      <c r="O863" s="35">
        <f t="shared" si="27"/>
        <v>0</v>
      </c>
    </row>
    <row r="864" spans="14:15" s="9" customFormat="1" hidden="1" x14ac:dyDescent="0.25">
      <c r="N864" s="35">
        <f t="shared" si="26"/>
        <v>0</v>
      </c>
      <c r="O864" s="35">
        <f t="shared" si="27"/>
        <v>0</v>
      </c>
    </row>
    <row r="865" spans="14:15" s="9" customFormat="1" hidden="1" x14ac:dyDescent="0.25">
      <c r="N865" s="35">
        <f t="shared" si="26"/>
        <v>0</v>
      </c>
      <c r="O865" s="35">
        <f t="shared" si="27"/>
        <v>0</v>
      </c>
    </row>
    <row r="866" spans="14:15" s="9" customFormat="1" hidden="1" x14ac:dyDescent="0.25">
      <c r="N866" s="35">
        <f t="shared" si="26"/>
        <v>0</v>
      </c>
      <c r="O866" s="35">
        <f t="shared" si="27"/>
        <v>0</v>
      </c>
    </row>
    <row r="867" spans="14:15" s="9" customFormat="1" hidden="1" x14ac:dyDescent="0.25">
      <c r="N867" s="35">
        <f t="shared" si="26"/>
        <v>0</v>
      </c>
      <c r="O867" s="35">
        <f t="shared" si="27"/>
        <v>0</v>
      </c>
    </row>
    <row r="868" spans="14:15" s="9" customFormat="1" hidden="1" x14ac:dyDescent="0.25">
      <c r="N868" s="35">
        <f t="shared" si="26"/>
        <v>0</v>
      </c>
      <c r="O868" s="35">
        <f t="shared" si="27"/>
        <v>0</v>
      </c>
    </row>
    <row r="869" spans="14:15" s="9" customFormat="1" hidden="1" x14ac:dyDescent="0.25">
      <c r="N869" s="35">
        <f t="shared" si="26"/>
        <v>0</v>
      </c>
      <c r="O869" s="35">
        <f t="shared" si="27"/>
        <v>0</v>
      </c>
    </row>
    <row r="870" spans="14:15" s="9" customFormat="1" hidden="1" x14ac:dyDescent="0.25">
      <c r="N870" s="35">
        <f t="shared" si="26"/>
        <v>0</v>
      </c>
      <c r="O870" s="35">
        <f t="shared" si="27"/>
        <v>0</v>
      </c>
    </row>
    <row r="871" spans="14:15" s="9" customFormat="1" hidden="1" x14ac:dyDescent="0.25">
      <c r="N871" s="35">
        <f t="shared" si="26"/>
        <v>0</v>
      </c>
      <c r="O871" s="35">
        <f t="shared" si="27"/>
        <v>0</v>
      </c>
    </row>
    <row r="872" spans="14:15" s="9" customFormat="1" hidden="1" x14ac:dyDescent="0.25">
      <c r="N872" s="35">
        <f t="shared" si="26"/>
        <v>0</v>
      </c>
      <c r="O872" s="35">
        <f t="shared" si="27"/>
        <v>0</v>
      </c>
    </row>
    <row r="873" spans="14:15" s="9" customFormat="1" hidden="1" x14ac:dyDescent="0.25">
      <c r="N873" s="35">
        <f t="shared" si="26"/>
        <v>0</v>
      </c>
      <c r="O873" s="35">
        <f t="shared" si="27"/>
        <v>0</v>
      </c>
    </row>
    <row r="874" spans="14:15" s="9" customFormat="1" hidden="1" x14ac:dyDescent="0.25">
      <c r="N874" s="35">
        <f t="shared" si="26"/>
        <v>0</v>
      </c>
      <c r="O874" s="35">
        <f t="shared" si="27"/>
        <v>0</v>
      </c>
    </row>
    <row r="875" spans="14:15" s="9" customFormat="1" hidden="1" x14ac:dyDescent="0.25">
      <c r="N875" s="35">
        <f t="shared" si="26"/>
        <v>0</v>
      </c>
      <c r="O875" s="35">
        <f t="shared" si="27"/>
        <v>0</v>
      </c>
    </row>
    <row r="876" spans="14:15" s="9" customFormat="1" hidden="1" x14ac:dyDescent="0.25">
      <c r="N876" s="35">
        <f t="shared" si="26"/>
        <v>0</v>
      </c>
      <c r="O876" s="35">
        <f t="shared" si="27"/>
        <v>0</v>
      </c>
    </row>
    <row r="877" spans="14:15" s="9" customFormat="1" hidden="1" x14ac:dyDescent="0.25">
      <c r="N877" s="35">
        <f t="shared" si="26"/>
        <v>0</v>
      </c>
      <c r="O877" s="35">
        <f t="shared" si="27"/>
        <v>0</v>
      </c>
    </row>
    <row r="878" spans="14:15" s="9" customFormat="1" hidden="1" x14ac:dyDescent="0.25">
      <c r="N878" s="35">
        <f t="shared" si="26"/>
        <v>0</v>
      </c>
      <c r="O878" s="35">
        <f t="shared" si="27"/>
        <v>0</v>
      </c>
    </row>
    <row r="879" spans="14:15" s="9" customFormat="1" hidden="1" x14ac:dyDescent="0.25">
      <c r="N879" s="35">
        <f t="shared" si="26"/>
        <v>0</v>
      </c>
      <c r="O879" s="35">
        <f t="shared" si="27"/>
        <v>0</v>
      </c>
    </row>
    <row r="880" spans="14:15" s="9" customFormat="1" hidden="1" x14ac:dyDescent="0.25">
      <c r="N880" s="35">
        <f t="shared" si="26"/>
        <v>0</v>
      </c>
      <c r="O880" s="35">
        <f t="shared" si="27"/>
        <v>0</v>
      </c>
    </row>
    <row r="881" spans="14:15" s="9" customFormat="1" hidden="1" x14ac:dyDescent="0.25">
      <c r="N881" s="35">
        <f t="shared" si="26"/>
        <v>0</v>
      </c>
      <c r="O881" s="35">
        <f t="shared" si="27"/>
        <v>0</v>
      </c>
    </row>
    <row r="882" spans="14:15" s="9" customFormat="1" hidden="1" x14ac:dyDescent="0.25">
      <c r="N882" s="35">
        <f t="shared" si="26"/>
        <v>0</v>
      </c>
      <c r="O882" s="35">
        <f t="shared" si="27"/>
        <v>0</v>
      </c>
    </row>
    <row r="883" spans="14:15" s="9" customFormat="1" hidden="1" x14ac:dyDescent="0.25">
      <c r="N883" s="35">
        <f t="shared" si="26"/>
        <v>0</v>
      </c>
      <c r="O883" s="35">
        <f t="shared" si="27"/>
        <v>0</v>
      </c>
    </row>
    <row r="884" spans="14:15" s="9" customFormat="1" hidden="1" x14ac:dyDescent="0.25">
      <c r="N884" s="35">
        <f t="shared" si="26"/>
        <v>0</v>
      </c>
      <c r="O884" s="35">
        <f t="shared" si="27"/>
        <v>0</v>
      </c>
    </row>
    <row r="885" spans="14:15" s="9" customFormat="1" hidden="1" x14ac:dyDescent="0.25">
      <c r="N885" s="35">
        <f t="shared" si="26"/>
        <v>0</v>
      </c>
      <c r="O885" s="35">
        <f t="shared" si="27"/>
        <v>0</v>
      </c>
    </row>
    <row r="886" spans="14:15" s="9" customFormat="1" hidden="1" x14ac:dyDescent="0.25">
      <c r="N886" s="35">
        <f t="shared" si="26"/>
        <v>0</v>
      </c>
      <c r="O886" s="35">
        <f t="shared" si="27"/>
        <v>0</v>
      </c>
    </row>
    <row r="887" spans="14:15" s="9" customFormat="1" hidden="1" x14ac:dyDescent="0.25">
      <c r="N887" s="35">
        <f t="shared" si="26"/>
        <v>0</v>
      </c>
      <c r="O887" s="35">
        <f t="shared" si="27"/>
        <v>0</v>
      </c>
    </row>
    <row r="888" spans="14:15" s="9" customFormat="1" hidden="1" x14ac:dyDescent="0.25">
      <c r="N888" s="35">
        <f t="shared" si="26"/>
        <v>0</v>
      </c>
      <c r="O888" s="35">
        <f t="shared" si="27"/>
        <v>0</v>
      </c>
    </row>
    <row r="889" spans="14:15" s="9" customFormat="1" hidden="1" x14ac:dyDescent="0.25">
      <c r="N889" s="35">
        <f t="shared" si="26"/>
        <v>0</v>
      </c>
      <c r="O889" s="35">
        <f t="shared" si="27"/>
        <v>0</v>
      </c>
    </row>
    <row r="890" spans="14:15" s="9" customFormat="1" hidden="1" x14ac:dyDescent="0.25">
      <c r="N890" s="35">
        <f t="shared" si="26"/>
        <v>0</v>
      </c>
      <c r="O890" s="35">
        <f t="shared" si="27"/>
        <v>0</v>
      </c>
    </row>
    <row r="891" spans="14:15" s="9" customFormat="1" hidden="1" x14ac:dyDescent="0.25">
      <c r="N891" s="35">
        <f t="shared" si="26"/>
        <v>0</v>
      </c>
      <c r="O891" s="35">
        <f t="shared" si="27"/>
        <v>0</v>
      </c>
    </row>
    <row r="892" spans="14:15" s="9" customFormat="1" hidden="1" x14ac:dyDescent="0.25">
      <c r="N892" s="35">
        <f t="shared" si="26"/>
        <v>0</v>
      </c>
      <c r="O892" s="35">
        <f t="shared" si="27"/>
        <v>0</v>
      </c>
    </row>
    <row r="893" spans="14:15" s="9" customFormat="1" hidden="1" x14ac:dyDescent="0.25">
      <c r="N893" s="35">
        <f t="shared" si="26"/>
        <v>0</v>
      </c>
      <c r="O893" s="35">
        <f t="shared" si="27"/>
        <v>0</v>
      </c>
    </row>
    <row r="894" spans="14:15" s="9" customFormat="1" hidden="1" x14ac:dyDescent="0.25">
      <c r="N894" s="35">
        <f t="shared" si="26"/>
        <v>0</v>
      </c>
      <c r="O894" s="35">
        <f t="shared" si="27"/>
        <v>0</v>
      </c>
    </row>
    <row r="895" spans="14:15" s="9" customFormat="1" hidden="1" x14ac:dyDescent="0.25">
      <c r="N895" s="35">
        <f t="shared" si="26"/>
        <v>0</v>
      </c>
      <c r="O895" s="35">
        <f t="shared" si="27"/>
        <v>0</v>
      </c>
    </row>
    <row r="896" spans="14:15" s="9" customFormat="1" hidden="1" x14ac:dyDescent="0.25">
      <c r="N896" s="35">
        <f t="shared" si="26"/>
        <v>0</v>
      </c>
      <c r="O896" s="35">
        <f t="shared" si="27"/>
        <v>0</v>
      </c>
    </row>
    <row r="897" spans="14:15" s="9" customFormat="1" hidden="1" x14ac:dyDescent="0.25">
      <c r="N897" s="35">
        <f t="shared" si="26"/>
        <v>0</v>
      </c>
      <c r="O897" s="35">
        <f t="shared" si="27"/>
        <v>0</v>
      </c>
    </row>
    <row r="898" spans="14:15" s="9" customFormat="1" hidden="1" x14ac:dyDescent="0.25">
      <c r="N898" s="35">
        <f t="shared" si="26"/>
        <v>0</v>
      </c>
      <c r="O898" s="35">
        <f t="shared" si="27"/>
        <v>0</v>
      </c>
    </row>
    <row r="899" spans="14:15" s="9" customFormat="1" hidden="1" x14ac:dyDescent="0.25">
      <c r="N899" s="35">
        <f t="shared" si="26"/>
        <v>0</v>
      </c>
      <c r="O899" s="35">
        <f t="shared" si="27"/>
        <v>0</v>
      </c>
    </row>
    <row r="900" spans="14:15" s="9" customFormat="1" hidden="1" x14ac:dyDescent="0.25">
      <c r="N900" s="35">
        <f t="shared" si="26"/>
        <v>0</v>
      </c>
      <c r="O900" s="35">
        <f t="shared" si="27"/>
        <v>0</v>
      </c>
    </row>
    <row r="901" spans="14:15" s="9" customFormat="1" hidden="1" x14ac:dyDescent="0.25">
      <c r="N901" s="35">
        <f t="shared" si="26"/>
        <v>0</v>
      </c>
      <c r="O901" s="35">
        <f t="shared" si="27"/>
        <v>0</v>
      </c>
    </row>
    <row r="902" spans="14:15" s="9" customFormat="1" hidden="1" x14ac:dyDescent="0.25">
      <c r="N902" s="35">
        <f t="shared" si="26"/>
        <v>0</v>
      </c>
      <c r="O902" s="35">
        <f t="shared" si="27"/>
        <v>0</v>
      </c>
    </row>
    <row r="903" spans="14:15" s="9" customFormat="1" hidden="1" x14ac:dyDescent="0.25">
      <c r="N903" s="35">
        <f t="shared" si="26"/>
        <v>0</v>
      </c>
      <c r="O903" s="35">
        <f t="shared" si="27"/>
        <v>0</v>
      </c>
    </row>
    <row r="904" spans="14:15" s="9" customFormat="1" hidden="1" x14ac:dyDescent="0.25">
      <c r="N904" s="35">
        <f t="shared" si="26"/>
        <v>0</v>
      </c>
      <c r="O904" s="35">
        <f t="shared" si="27"/>
        <v>0</v>
      </c>
    </row>
    <row r="905" spans="14:15" s="9" customFormat="1" hidden="1" x14ac:dyDescent="0.25">
      <c r="N905" s="35">
        <f t="shared" si="26"/>
        <v>0</v>
      </c>
      <c r="O905" s="35">
        <f t="shared" si="27"/>
        <v>0</v>
      </c>
    </row>
    <row r="906" spans="14:15" s="9" customFormat="1" hidden="1" x14ac:dyDescent="0.25">
      <c r="N906" s="35">
        <f t="shared" si="26"/>
        <v>0</v>
      </c>
      <c r="O906" s="35">
        <f t="shared" si="27"/>
        <v>0</v>
      </c>
    </row>
    <row r="907" spans="14:15" s="9" customFormat="1" hidden="1" x14ac:dyDescent="0.25">
      <c r="N907" s="35">
        <f t="shared" si="26"/>
        <v>0</v>
      </c>
      <c r="O907" s="35">
        <f t="shared" si="27"/>
        <v>0</v>
      </c>
    </row>
    <row r="908" spans="14:15" s="9" customFormat="1" hidden="1" x14ac:dyDescent="0.25">
      <c r="N908" s="35">
        <f t="shared" ref="N908:N971" si="28">MAX(0,D908)</f>
        <v>0</v>
      </c>
      <c r="O908" s="35">
        <f t="shared" ref="O908:O971" si="29">MAX(0,F908)</f>
        <v>0</v>
      </c>
    </row>
    <row r="909" spans="14:15" s="9" customFormat="1" hidden="1" x14ac:dyDescent="0.25">
      <c r="N909" s="35">
        <f t="shared" si="28"/>
        <v>0</v>
      </c>
      <c r="O909" s="35">
        <f t="shared" si="29"/>
        <v>0</v>
      </c>
    </row>
    <row r="910" spans="14:15" s="9" customFormat="1" hidden="1" x14ac:dyDescent="0.25">
      <c r="N910" s="35">
        <f t="shared" si="28"/>
        <v>0</v>
      </c>
      <c r="O910" s="35">
        <f t="shared" si="29"/>
        <v>0</v>
      </c>
    </row>
    <row r="911" spans="14:15" s="9" customFormat="1" hidden="1" x14ac:dyDescent="0.25">
      <c r="N911" s="35">
        <f t="shared" si="28"/>
        <v>0</v>
      </c>
      <c r="O911" s="35">
        <f t="shared" si="29"/>
        <v>0</v>
      </c>
    </row>
    <row r="912" spans="14:15" s="9" customFormat="1" hidden="1" x14ac:dyDescent="0.25">
      <c r="N912" s="35">
        <f t="shared" si="28"/>
        <v>0</v>
      </c>
      <c r="O912" s="35">
        <f t="shared" si="29"/>
        <v>0</v>
      </c>
    </row>
    <row r="913" spans="14:15" s="9" customFormat="1" hidden="1" x14ac:dyDescent="0.25">
      <c r="N913" s="35">
        <f t="shared" si="28"/>
        <v>0</v>
      </c>
      <c r="O913" s="35">
        <f t="shared" si="29"/>
        <v>0</v>
      </c>
    </row>
    <row r="914" spans="14:15" s="9" customFormat="1" hidden="1" x14ac:dyDescent="0.25">
      <c r="N914" s="35">
        <f t="shared" si="28"/>
        <v>0</v>
      </c>
      <c r="O914" s="35">
        <f t="shared" si="29"/>
        <v>0</v>
      </c>
    </row>
    <row r="915" spans="14:15" s="9" customFormat="1" hidden="1" x14ac:dyDescent="0.25">
      <c r="N915" s="35">
        <f t="shared" si="28"/>
        <v>0</v>
      </c>
      <c r="O915" s="35">
        <f t="shared" si="29"/>
        <v>0</v>
      </c>
    </row>
    <row r="916" spans="14:15" s="9" customFormat="1" hidden="1" x14ac:dyDescent="0.25">
      <c r="N916" s="35">
        <f t="shared" si="28"/>
        <v>0</v>
      </c>
      <c r="O916" s="35">
        <f t="shared" si="29"/>
        <v>0</v>
      </c>
    </row>
    <row r="917" spans="14:15" s="9" customFormat="1" hidden="1" x14ac:dyDescent="0.25">
      <c r="N917" s="35">
        <f t="shared" si="28"/>
        <v>0</v>
      </c>
      <c r="O917" s="35">
        <f t="shared" si="29"/>
        <v>0</v>
      </c>
    </row>
    <row r="918" spans="14:15" s="9" customFormat="1" hidden="1" x14ac:dyDescent="0.25">
      <c r="N918" s="35">
        <f t="shared" si="28"/>
        <v>0</v>
      </c>
      <c r="O918" s="35">
        <f t="shared" si="29"/>
        <v>0</v>
      </c>
    </row>
    <row r="919" spans="14:15" s="9" customFormat="1" hidden="1" x14ac:dyDescent="0.25">
      <c r="N919" s="35">
        <f t="shared" si="28"/>
        <v>0</v>
      </c>
      <c r="O919" s="35">
        <f t="shared" si="29"/>
        <v>0</v>
      </c>
    </row>
    <row r="920" spans="14:15" s="9" customFormat="1" hidden="1" x14ac:dyDescent="0.25">
      <c r="N920" s="35">
        <f t="shared" si="28"/>
        <v>0</v>
      </c>
      <c r="O920" s="35">
        <f t="shared" si="29"/>
        <v>0</v>
      </c>
    </row>
    <row r="921" spans="14:15" s="9" customFormat="1" hidden="1" x14ac:dyDescent="0.25">
      <c r="N921" s="35">
        <f t="shared" si="28"/>
        <v>0</v>
      </c>
      <c r="O921" s="35">
        <f t="shared" si="29"/>
        <v>0</v>
      </c>
    </row>
    <row r="922" spans="14:15" s="9" customFormat="1" hidden="1" x14ac:dyDescent="0.25">
      <c r="N922" s="35">
        <f t="shared" si="28"/>
        <v>0</v>
      </c>
      <c r="O922" s="35">
        <f t="shared" si="29"/>
        <v>0</v>
      </c>
    </row>
    <row r="923" spans="14:15" s="9" customFormat="1" hidden="1" x14ac:dyDescent="0.25">
      <c r="N923" s="35">
        <f t="shared" si="28"/>
        <v>0</v>
      </c>
      <c r="O923" s="35">
        <f t="shared" si="29"/>
        <v>0</v>
      </c>
    </row>
    <row r="924" spans="14:15" s="9" customFormat="1" hidden="1" x14ac:dyDescent="0.25">
      <c r="N924" s="35">
        <f t="shared" si="28"/>
        <v>0</v>
      </c>
      <c r="O924" s="35">
        <f t="shared" si="29"/>
        <v>0</v>
      </c>
    </row>
    <row r="925" spans="14:15" s="9" customFormat="1" hidden="1" x14ac:dyDescent="0.25">
      <c r="N925" s="35">
        <f t="shared" si="28"/>
        <v>0</v>
      </c>
      <c r="O925" s="35">
        <f t="shared" si="29"/>
        <v>0</v>
      </c>
    </row>
    <row r="926" spans="14:15" s="9" customFormat="1" hidden="1" x14ac:dyDescent="0.25">
      <c r="N926" s="35">
        <f t="shared" si="28"/>
        <v>0</v>
      </c>
      <c r="O926" s="35">
        <f t="shared" si="29"/>
        <v>0</v>
      </c>
    </row>
    <row r="927" spans="14:15" s="9" customFormat="1" hidden="1" x14ac:dyDescent="0.25">
      <c r="N927" s="35">
        <f t="shared" si="28"/>
        <v>0</v>
      </c>
      <c r="O927" s="35">
        <f t="shared" si="29"/>
        <v>0</v>
      </c>
    </row>
    <row r="928" spans="14:15" s="9" customFormat="1" hidden="1" x14ac:dyDescent="0.25">
      <c r="N928" s="35">
        <f t="shared" si="28"/>
        <v>0</v>
      </c>
      <c r="O928" s="35">
        <f t="shared" si="29"/>
        <v>0</v>
      </c>
    </row>
    <row r="929" spans="14:15" s="9" customFormat="1" hidden="1" x14ac:dyDescent="0.25">
      <c r="N929" s="35">
        <f t="shared" si="28"/>
        <v>0</v>
      </c>
      <c r="O929" s="35">
        <f t="shared" si="29"/>
        <v>0</v>
      </c>
    </row>
    <row r="930" spans="14:15" s="9" customFormat="1" hidden="1" x14ac:dyDescent="0.25">
      <c r="N930" s="35">
        <f t="shared" si="28"/>
        <v>0</v>
      </c>
      <c r="O930" s="35">
        <f t="shared" si="29"/>
        <v>0</v>
      </c>
    </row>
    <row r="931" spans="14:15" s="9" customFormat="1" hidden="1" x14ac:dyDescent="0.25">
      <c r="N931" s="35">
        <f t="shared" si="28"/>
        <v>0</v>
      </c>
      <c r="O931" s="35">
        <f t="shared" si="29"/>
        <v>0</v>
      </c>
    </row>
    <row r="932" spans="14:15" s="9" customFormat="1" hidden="1" x14ac:dyDescent="0.25">
      <c r="N932" s="35">
        <f t="shared" si="28"/>
        <v>0</v>
      </c>
      <c r="O932" s="35">
        <f t="shared" si="29"/>
        <v>0</v>
      </c>
    </row>
    <row r="933" spans="14:15" s="9" customFormat="1" hidden="1" x14ac:dyDescent="0.25">
      <c r="N933" s="35">
        <f t="shared" si="28"/>
        <v>0</v>
      </c>
      <c r="O933" s="35">
        <f t="shared" si="29"/>
        <v>0</v>
      </c>
    </row>
    <row r="934" spans="14:15" s="9" customFormat="1" hidden="1" x14ac:dyDescent="0.25">
      <c r="N934" s="35">
        <f t="shared" si="28"/>
        <v>0</v>
      </c>
      <c r="O934" s="35">
        <f t="shared" si="29"/>
        <v>0</v>
      </c>
    </row>
    <row r="935" spans="14:15" s="9" customFormat="1" hidden="1" x14ac:dyDescent="0.25">
      <c r="N935" s="35">
        <f t="shared" si="28"/>
        <v>0</v>
      </c>
      <c r="O935" s="35">
        <f t="shared" si="29"/>
        <v>0</v>
      </c>
    </row>
    <row r="936" spans="14:15" s="9" customFormat="1" hidden="1" x14ac:dyDescent="0.25">
      <c r="N936" s="35">
        <f t="shared" si="28"/>
        <v>0</v>
      </c>
      <c r="O936" s="35">
        <f t="shared" si="29"/>
        <v>0</v>
      </c>
    </row>
    <row r="937" spans="14:15" s="9" customFormat="1" hidden="1" x14ac:dyDescent="0.25">
      <c r="N937" s="35">
        <f t="shared" si="28"/>
        <v>0</v>
      </c>
      <c r="O937" s="35">
        <f t="shared" si="29"/>
        <v>0</v>
      </c>
    </row>
    <row r="938" spans="14:15" s="9" customFormat="1" hidden="1" x14ac:dyDescent="0.25">
      <c r="N938" s="35">
        <f t="shared" si="28"/>
        <v>0</v>
      </c>
      <c r="O938" s="35">
        <f t="shared" si="29"/>
        <v>0</v>
      </c>
    </row>
    <row r="939" spans="14:15" s="9" customFormat="1" hidden="1" x14ac:dyDescent="0.25">
      <c r="N939" s="35">
        <f t="shared" si="28"/>
        <v>0</v>
      </c>
      <c r="O939" s="35">
        <f t="shared" si="29"/>
        <v>0</v>
      </c>
    </row>
    <row r="940" spans="14:15" s="9" customFormat="1" hidden="1" x14ac:dyDescent="0.25">
      <c r="N940" s="35">
        <f t="shared" si="28"/>
        <v>0</v>
      </c>
      <c r="O940" s="35">
        <f t="shared" si="29"/>
        <v>0</v>
      </c>
    </row>
    <row r="941" spans="14:15" s="9" customFormat="1" hidden="1" x14ac:dyDescent="0.25">
      <c r="N941" s="35">
        <f t="shared" si="28"/>
        <v>0</v>
      </c>
      <c r="O941" s="35">
        <f t="shared" si="29"/>
        <v>0</v>
      </c>
    </row>
    <row r="942" spans="14:15" s="9" customFormat="1" hidden="1" x14ac:dyDescent="0.25">
      <c r="N942" s="35">
        <f t="shared" si="28"/>
        <v>0</v>
      </c>
      <c r="O942" s="35">
        <f t="shared" si="29"/>
        <v>0</v>
      </c>
    </row>
    <row r="943" spans="14:15" s="9" customFormat="1" hidden="1" x14ac:dyDescent="0.25">
      <c r="N943" s="35">
        <f t="shared" si="28"/>
        <v>0</v>
      </c>
      <c r="O943" s="35">
        <f t="shared" si="29"/>
        <v>0</v>
      </c>
    </row>
    <row r="944" spans="14:15" s="9" customFormat="1" hidden="1" x14ac:dyDescent="0.25">
      <c r="N944" s="35">
        <f t="shared" si="28"/>
        <v>0</v>
      </c>
      <c r="O944" s="35">
        <f t="shared" si="29"/>
        <v>0</v>
      </c>
    </row>
    <row r="945" spans="14:15" s="9" customFormat="1" hidden="1" x14ac:dyDescent="0.25">
      <c r="N945" s="35">
        <f t="shared" si="28"/>
        <v>0</v>
      </c>
      <c r="O945" s="35">
        <f t="shared" si="29"/>
        <v>0</v>
      </c>
    </row>
    <row r="946" spans="14:15" s="9" customFormat="1" hidden="1" x14ac:dyDescent="0.25">
      <c r="N946" s="35">
        <f t="shared" si="28"/>
        <v>0</v>
      </c>
      <c r="O946" s="35">
        <f t="shared" si="29"/>
        <v>0</v>
      </c>
    </row>
    <row r="947" spans="14:15" s="9" customFormat="1" hidden="1" x14ac:dyDescent="0.25">
      <c r="N947" s="35">
        <f t="shared" si="28"/>
        <v>0</v>
      </c>
      <c r="O947" s="35">
        <f t="shared" si="29"/>
        <v>0</v>
      </c>
    </row>
    <row r="948" spans="14:15" s="9" customFormat="1" hidden="1" x14ac:dyDescent="0.25">
      <c r="N948" s="35">
        <f t="shared" si="28"/>
        <v>0</v>
      </c>
      <c r="O948" s="35">
        <f t="shared" si="29"/>
        <v>0</v>
      </c>
    </row>
    <row r="949" spans="14:15" s="9" customFormat="1" hidden="1" x14ac:dyDescent="0.25">
      <c r="N949" s="35">
        <f t="shared" si="28"/>
        <v>0</v>
      </c>
      <c r="O949" s="35">
        <f t="shared" si="29"/>
        <v>0</v>
      </c>
    </row>
    <row r="950" spans="14:15" s="9" customFormat="1" hidden="1" x14ac:dyDescent="0.25">
      <c r="N950" s="35">
        <f t="shared" si="28"/>
        <v>0</v>
      </c>
      <c r="O950" s="35">
        <f t="shared" si="29"/>
        <v>0</v>
      </c>
    </row>
    <row r="951" spans="14:15" s="9" customFormat="1" hidden="1" x14ac:dyDescent="0.25">
      <c r="N951" s="35">
        <f t="shared" si="28"/>
        <v>0</v>
      </c>
      <c r="O951" s="35">
        <f t="shared" si="29"/>
        <v>0</v>
      </c>
    </row>
    <row r="952" spans="14:15" s="9" customFormat="1" hidden="1" x14ac:dyDescent="0.25">
      <c r="N952" s="35">
        <f t="shared" si="28"/>
        <v>0</v>
      </c>
      <c r="O952" s="35">
        <f t="shared" si="29"/>
        <v>0</v>
      </c>
    </row>
    <row r="953" spans="14:15" s="9" customFormat="1" hidden="1" x14ac:dyDescent="0.25">
      <c r="N953" s="35">
        <f t="shared" si="28"/>
        <v>0</v>
      </c>
      <c r="O953" s="35">
        <f t="shared" si="29"/>
        <v>0</v>
      </c>
    </row>
    <row r="954" spans="14:15" s="9" customFormat="1" hidden="1" x14ac:dyDescent="0.25">
      <c r="N954" s="35">
        <f t="shared" si="28"/>
        <v>0</v>
      </c>
      <c r="O954" s="35">
        <f t="shared" si="29"/>
        <v>0</v>
      </c>
    </row>
    <row r="955" spans="14:15" s="9" customFormat="1" hidden="1" x14ac:dyDescent="0.25">
      <c r="N955" s="35">
        <f t="shared" si="28"/>
        <v>0</v>
      </c>
      <c r="O955" s="35">
        <f t="shared" si="29"/>
        <v>0</v>
      </c>
    </row>
    <row r="956" spans="14:15" s="9" customFormat="1" hidden="1" x14ac:dyDescent="0.25">
      <c r="N956" s="35">
        <f t="shared" si="28"/>
        <v>0</v>
      </c>
      <c r="O956" s="35">
        <f t="shared" si="29"/>
        <v>0</v>
      </c>
    </row>
    <row r="957" spans="14:15" s="9" customFormat="1" hidden="1" x14ac:dyDescent="0.25">
      <c r="N957" s="35">
        <f t="shared" si="28"/>
        <v>0</v>
      </c>
      <c r="O957" s="35">
        <f t="shared" si="29"/>
        <v>0</v>
      </c>
    </row>
    <row r="958" spans="14:15" s="9" customFormat="1" hidden="1" x14ac:dyDescent="0.25">
      <c r="N958" s="35">
        <f t="shared" si="28"/>
        <v>0</v>
      </c>
      <c r="O958" s="35">
        <f t="shared" si="29"/>
        <v>0</v>
      </c>
    </row>
    <row r="959" spans="14:15" s="9" customFormat="1" hidden="1" x14ac:dyDescent="0.25">
      <c r="N959" s="35">
        <f t="shared" si="28"/>
        <v>0</v>
      </c>
      <c r="O959" s="35">
        <f t="shared" si="29"/>
        <v>0</v>
      </c>
    </row>
    <row r="960" spans="14:15" s="9" customFormat="1" hidden="1" x14ac:dyDescent="0.25">
      <c r="N960" s="35">
        <f t="shared" si="28"/>
        <v>0</v>
      </c>
      <c r="O960" s="35">
        <f t="shared" si="29"/>
        <v>0</v>
      </c>
    </row>
    <row r="961" spans="14:15" s="9" customFormat="1" hidden="1" x14ac:dyDescent="0.25">
      <c r="N961" s="35">
        <f t="shared" si="28"/>
        <v>0</v>
      </c>
      <c r="O961" s="35">
        <f t="shared" si="29"/>
        <v>0</v>
      </c>
    </row>
    <row r="962" spans="14:15" s="9" customFormat="1" hidden="1" x14ac:dyDescent="0.25">
      <c r="N962" s="35">
        <f t="shared" si="28"/>
        <v>0</v>
      </c>
      <c r="O962" s="35">
        <f t="shared" si="29"/>
        <v>0</v>
      </c>
    </row>
    <row r="963" spans="14:15" s="9" customFormat="1" hidden="1" x14ac:dyDescent="0.25">
      <c r="N963" s="35">
        <f t="shared" si="28"/>
        <v>0</v>
      </c>
      <c r="O963" s="35">
        <f t="shared" si="29"/>
        <v>0</v>
      </c>
    </row>
    <row r="964" spans="14:15" s="9" customFormat="1" hidden="1" x14ac:dyDescent="0.25">
      <c r="N964" s="35">
        <f t="shared" si="28"/>
        <v>0</v>
      </c>
      <c r="O964" s="35">
        <f t="shared" si="29"/>
        <v>0</v>
      </c>
    </row>
    <row r="965" spans="14:15" s="9" customFormat="1" hidden="1" x14ac:dyDescent="0.25">
      <c r="N965" s="35">
        <f t="shared" si="28"/>
        <v>0</v>
      </c>
      <c r="O965" s="35">
        <f t="shared" si="29"/>
        <v>0</v>
      </c>
    </row>
    <row r="966" spans="14:15" s="9" customFormat="1" hidden="1" x14ac:dyDescent="0.25">
      <c r="N966" s="35">
        <f t="shared" si="28"/>
        <v>0</v>
      </c>
      <c r="O966" s="35">
        <f t="shared" si="29"/>
        <v>0</v>
      </c>
    </row>
    <row r="967" spans="14:15" s="9" customFormat="1" hidden="1" x14ac:dyDescent="0.25">
      <c r="N967" s="35">
        <f t="shared" si="28"/>
        <v>0</v>
      </c>
      <c r="O967" s="35">
        <f t="shared" si="29"/>
        <v>0</v>
      </c>
    </row>
    <row r="968" spans="14:15" s="9" customFormat="1" hidden="1" x14ac:dyDescent="0.25">
      <c r="N968" s="35">
        <f t="shared" si="28"/>
        <v>0</v>
      </c>
      <c r="O968" s="35">
        <f t="shared" si="29"/>
        <v>0</v>
      </c>
    </row>
    <row r="969" spans="14:15" s="9" customFormat="1" hidden="1" x14ac:dyDescent="0.25">
      <c r="N969" s="35">
        <f t="shared" si="28"/>
        <v>0</v>
      </c>
      <c r="O969" s="35">
        <f t="shared" si="29"/>
        <v>0</v>
      </c>
    </row>
    <row r="970" spans="14:15" s="9" customFormat="1" hidden="1" x14ac:dyDescent="0.25">
      <c r="N970" s="35">
        <f t="shared" si="28"/>
        <v>0</v>
      </c>
      <c r="O970" s="35">
        <f t="shared" si="29"/>
        <v>0</v>
      </c>
    </row>
    <row r="971" spans="14:15" s="9" customFormat="1" hidden="1" x14ac:dyDescent="0.25">
      <c r="N971" s="35">
        <f t="shared" si="28"/>
        <v>0</v>
      </c>
      <c r="O971" s="35">
        <f t="shared" si="29"/>
        <v>0</v>
      </c>
    </row>
    <row r="972" spans="14:15" s="9" customFormat="1" hidden="1" x14ac:dyDescent="0.25">
      <c r="N972" s="35">
        <f t="shared" ref="N972:N1011" si="30">MAX(0,D972)</f>
        <v>0</v>
      </c>
      <c r="O972" s="35">
        <f t="shared" ref="O972:O1011" si="31">MAX(0,F972)</f>
        <v>0</v>
      </c>
    </row>
    <row r="973" spans="14:15" s="9" customFormat="1" hidden="1" x14ac:dyDescent="0.25">
      <c r="N973" s="35">
        <f t="shared" si="30"/>
        <v>0</v>
      </c>
      <c r="O973" s="35">
        <f t="shared" si="31"/>
        <v>0</v>
      </c>
    </row>
    <row r="974" spans="14:15" s="9" customFormat="1" hidden="1" x14ac:dyDescent="0.25">
      <c r="N974" s="35">
        <f t="shared" si="30"/>
        <v>0</v>
      </c>
      <c r="O974" s="35">
        <f t="shared" si="31"/>
        <v>0</v>
      </c>
    </row>
    <row r="975" spans="14:15" s="9" customFormat="1" hidden="1" x14ac:dyDescent="0.25">
      <c r="N975" s="35">
        <f t="shared" si="30"/>
        <v>0</v>
      </c>
      <c r="O975" s="35">
        <f t="shared" si="31"/>
        <v>0</v>
      </c>
    </row>
    <row r="976" spans="14:15" s="9" customFormat="1" hidden="1" x14ac:dyDescent="0.25">
      <c r="N976" s="35">
        <f t="shared" si="30"/>
        <v>0</v>
      </c>
      <c r="O976" s="35">
        <f t="shared" si="31"/>
        <v>0</v>
      </c>
    </row>
    <row r="977" spans="14:15" s="9" customFormat="1" hidden="1" x14ac:dyDescent="0.25">
      <c r="N977" s="35">
        <f t="shared" si="30"/>
        <v>0</v>
      </c>
      <c r="O977" s="35">
        <f t="shared" si="31"/>
        <v>0</v>
      </c>
    </row>
    <row r="978" spans="14:15" s="9" customFormat="1" hidden="1" x14ac:dyDescent="0.25">
      <c r="N978" s="35">
        <f t="shared" si="30"/>
        <v>0</v>
      </c>
      <c r="O978" s="35">
        <f t="shared" si="31"/>
        <v>0</v>
      </c>
    </row>
    <row r="979" spans="14:15" s="9" customFormat="1" hidden="1" x14ac:dyDescent="0.25">
      <c r="N979" s="35">
        <f t="shared" si="30"/>
        <v>0</v>
      </c>
      <c r="O979" s="35">
        <f t="shared" si="31"/>
        <v>0</v>
      </c>
    </row>
    <row r="980" spans="14:15" s="9" customFormat="1" hidden="1" x14ac:dyDescent="0.25">
      <c r="N980" s="35">
        <f t="shared" si="30"/>
        <v>0</v>
      </c>
      <c r="O980" s="35">
        <f t="shared" si="31"/>
        <v>0</v>
      </c>
    </row>
    <row r="981" spans="14:15" s="9" customFormat="1" hidden="1" x14ac:dyDescent="0.25">
      <c r="N981" s="35">
        <f t="shared" si="30"/>
        <v>0</v>
      </c>
      <c r="O981" s="35">
        <f t="shared" si="31"/>
        <v>0</v>
      </c>
    </row>
    <row r="982" spans="14:15" s="9" customFormat="1" hidden="1" x14ac:dyDescent="0.25">
      <c r="N982" s="35">
        <f t="shared" si="30"/>
        <v>0</v>
      </c>
      <c r="O982" s="35">
        <f t="shared" si="31"/>
        <v>0</v>
      </c>
    </row>
    <row r="983" spans="14:15" s="9" customFormat="1" hidden="1" x14ac:dyDescent="0.25">
      <c r="N983" s="35">
        <f t="shared" si="30"/>
        <v>0</v>
      </c>
      <c r="O983" s="35">
        <f t="shared" si="31"/>
        <v>0</v>
      </c>
    </row>
    <row r="984" spans="14:15" s="9" customFormat="1" hidden="1" x14ac:dyDescent="0.25">
      <c r="N984" s="35">
        <f t="shared" si="30"/>
        <v>0</v>
      </c>
      <c r="O984" s="35">
        <f t="shared" si="31"/>
        <v>0</v>
      </c>
    </row>
    <row r="985" spans="14:15" s="9" customFormat="1" hidden="1" x14ac:dyDescent="0.25">
      <c r="N985" s="35">
        <f t="shared" si="30"/>
        <v>0</v>
      </c>
      <c r="O985" s="35">
        <f t="shared" si="31"/>
        <v>0</v>
      </c>
    </row>
    <row r="986" spans="14:15" s="9" customFormat="1" hidden="1" x14ac:dyDescent="0.25">
      <c r="N986" s="35">
        <f t="shared" si="30"/>
        <v>0</v>
      </c>
      <c r="O986" s="35">
        <f t="shared" si="31"/>
        <v>0</v>
      </c>
    </row>
    <row r="987" spans="14:15" s="9" customFormat="1" hidden="1" x14ac:dyDescent="0.25">
      <c r="N987" s="35">
        <f t="shared" si="30"/>
        <v>0</v>
      </c>
      <c r="O987" s="35">
        <f t="shared" si="31"/>
        <v>0</v>
      </c>
    </row>
    <row r="988" spans="14:15" s="9" customFormat="1" hidden="1" x14ac:dyDescent="0.25">
      <c r="N988" s="35">
        <f t="shared" si="30"/>
        <v>0</v>
      </c>
      <c r="O988" s="35">
        <f t="shared" si="31"/>
        <v>0</v>
      </c>
    </row>
    <row r="989" spans="14:15" s="9" customFormat="1" hidden="1" x14ac:dyDescent="0.25">
      <c r="N989" s="35">
        <f t="shared" si="30"/>
        <v>0</v>
      </c>
      <c r="O989" s="35">
        <f t="shared" si="31"/>
        <v>0</v>
      </c>
    </row>
    <row r="990" spans="14:15" s="9" customFormat="1" hidden="1" x14ac:dyDescent="0.25">
      <c r="N990" s="35">
        <f t="shared" si="30"/>
        <v>0</v>
      </c>
      <c r="O990" s="35">
        <f t="shared" si="31"/>
        <v>0</v>
      </c>
    </row>
    <row r="991" spans="14:15" s="9" customFormat="1" hidden="1" x14ac:dyDescent="0.25">
      <c r="N991" s="35">
        <f t="shared" si="30"/>
        <v>0</v>
      </c>
      <c r="O991" s="35">
        <f t="shared" si="31"/>
        <v>0</v>
      </c>
    </row>
    <row r="992" spans="14:15" s="9" customFormat="1" hidden="1" x14ac:dyDescent="0.25">
      <c r="N992" s="35">
        <f t="shared" si="30"/>
        <v>0</v>
      </c>
      <c r="O992" s="35">
        <f t="shared" si="31"/>
        <v>0</v>
      </c>
    </row>
    <row r="993" spans="14:15" s="9" customFormat="1" hidden="1" x14ac:dyDescent="0.25">
      <c r="N993" s="35">
        <f t="shared" si="30"/>
        <v>0</v>
      </c>
      <c r="O993" s="35">
        <f t="shared" si="31"/>
        <v>0</v>
      </c>
    </row>
    <row r="994" spans="14:15" s="9" customFormat="1" hidden="1" x14ac:dyDescent="0.25">
      <c r="N994" s="35">
        <f t="shared" si="30"/>
        <v>0</v>
      </c>
      <c r="O994" s="35">
        <f t="shared" si="31"/>
        <v>0</v>
      </c>
    </row>
    <row r="995" spans="14:15" s="9" customFormat="1" hidden="1" x14ac:dyDescent="0.25">
      <c r="N995" s="35">
        <f t="shared" si="30"/>
        <v>0</v>
      </c>
      <c r="O995" s="35">
        <f t="shared" si="31"/>
        <v>0</v>
      </c>
    </row>
    <row r="996" spans="14:15" s="9" customFormat="1" hidden="1" x14ac:dyDescent="0.25">
      <c r="N996" s="35">
        <f t="shared" si="30"/>
        <v>0</v>
      </c>
      <c r="O996" s="35">
        <f t="shared" si="31"/>
        <v>0</v>
      </c>
    </row>
    <row r="997" spans="14:15" s="9" customFormat="1" hidden="1" x14ac:dyDescent="0.25">
      <c r="N997" s="35">
        <f t="shared" si="30"/>
        <v>0</v>
      </c>
      <c r="O997" s="35">
        <f t="shared" si="31"/>
        <v>0</v>
      </c>
    </row>
    <row r="998" spans="14:15" s="9" customFormat="1" hidden="1" x14ac:dyDescent="0.25">
      <c r="N998" s="35">
        <f t="shared" si="30"/>
        <v>0</v>
      </c>
      <c r="O998" s="35">
        <f t="shared" si="31"/>
        <v>0</v>
      </c>
    </row>
    <row r="999" spans="14:15" s="9" customFormat="1" hidden="1" x14ac:dyDescent="0.25">
      <c r="N999" s="35">
        <f t="shared" si="30"/>
        <v>0</v>
      </c>
      <c r="O999" s="35">
        <f t="shared" si="31"/>
        <v>0</v>
      </c>
    </row>
    <row r="1000" spans="14:15" s="9" customFormat="1" hidden="1" x14ac:dyDescent="0.25">
      <c r="N1000" s="35">
        <f t="shared" si="30"/>
        <v>0</v>
      </c>
      <c r="O1000" s="35">
        <f t="shared" si="31"/>
        <v>0</v>
      </c>
    </row>
    <row r="1001" spans="14:15" s="9" customFormat="1" hidden="1" x14ac:dyDescent="0.25">
      <c r="N1001" s="35">
        <f t="shared" si="30"/>
        <v>0</v>
      </c>
      <c r="O1001" s="35">
        <f t="shared" si="31"/>
        <v>0</v>
      </c>
    </row>
    <row r="1002" spans="14:15" s="9" customFormat="1" hidden="1" x14ac:dyDescent="0.25">
      <c r="N1002" s="35">
        <f t="shared" si="30"/>
        <v>0</v>
      </c>
      <c r="O1002" s="35">
        <f t="shared" si="31"/>
        <v>0</v>
      </c>
    </row>
    <row r="1003" spans="14:15" s="9" customFormat="1" hidden="1" x14ac:dyDescent="0.25">
      <c r="N1003" s="35">
        <f t="shared" si="30"/>
        <v>0</v>
      </c>
      <c r="O1003" s="35">
        <f t="shared" si="31"/>
        <v>0</v>
      </c>
    </row>
    <row r="1004" spans="14:15" s="9" customFormat="1" hidden="1" x14ac:dyDescent="0.25">
      <c r="N1004" s="35">
        <f t="shared" si="30"/>
        <v>0</v>
      </c>
      <c r="O1004" s="35">
        <f t="shared" si="31"/>
        <v>0</v>
      </c>
    </row>
    <row r="1005" spans="14:15" s="9" customFormat="1" hidden="1" x14ac:dyDescent="0.25">
      <c r="N1005" s="35">
        <f t="shared" si="30"/>
        <v>0</v>
      </c>
      <c r="O1005" s="35">
        <f t="shared" si="31"/>
        <v>0</v>
      </c>
    </row>
    <row r="1006" spans="14:15" s="9" customFormat="1" hidden="1" x14ac:dyDescent="0.25">
      <c r="N1006" s="35">
        <f t="shared" si="30"/>
        <v>0</v>
      </c>
      <c r="O1006" s="35">
        <f t="shared" si="31"/>
        <v>0</v>
      </c>
    </row>
    <row r="1007" spans="14:15" s="9" customFormat="1" hidden="1" x14ac:dyDescent="0.25">
      <c r="N1007" s="35">
        <f t="shared" si="30"/>
        <v>0</v>
      </c>
      <c r="O1007" s="35">
        <f t="shared" si="31"/>
        <v>0</v>
      </c>
    </row>
    <row r="1008" spans="14:15" s="9" customFormat="1" hidden="1" x14ac:dyDescent="0.25">
      <c r="N1008" s="35">
        <f t="shared" si="30"/>
        <v>0</v>
      </c>
      <c r="O1008" s="35">
        <f t="shared" si="31"/>
        <v>0</v>
      </c>
    </row>
    <row r="1009" spans="3:15" s="9" customFormat="1" hidden="1" x14ac:dyDescent="0.25">
      <c r="N1009" s="35">
        <f t="shared" si="30"/>
        <v>0</v>
      </c>
      <c r="O1009" s="35">
        <f t="shared" si="31"/>
        <v>0</v>
      </c>
    </row>
    <row r="1010" spans="3:15" s="9" customFormat="1" hidden="1" x14ac:dyDescent="0.25">
      <c r="N1010" s="35">
        <f t="shared" si="30"/>
        <v>0</v>
      </c>
      <c r="O1010" s="35">
        <f t="shared" si="31"/>
        <v>0</v>
      </c>
    </row>
    <row r="1011" spans="3:15" s="9" customFormat="1" hidden="1" x14ac:dyDescent="0.25">
      <c r="N1011" s="35">
        <f t="shared" si="30"/>
        <v>0</v>
      </c>
      <c r="O1011" s="35">
        <f t="shared" si="31"/>
        <v>0</v>
      </c>
    </row>
    <row r="1012" spans="3:15" s="9" customFormat="1" hidden="1" x14ac:dyDescent="0.25"/>
    <row r="1013" spans="3:15" ht="18" hidden="1" x14ac:dyDescent="0.25">
      <c r="C1013" s="2"/>
      <c r="D1013" s="2"/>
      <c r="E1013" s="2"/>
      <c r="F1013" s="2"/>
    </row>
    <row r="1014" spans="3:15" ht="18" hidden="1" x14ac:dyDescent="0.25">
      <c r="C1014" s="2"/>
      <c r="D1014" s="2"/>
      <c r="E1014" s="2"/>
      <c r="F1014" s="2"/>
    </row>
    <row r="1015" spans="3:15" ht="18" hidden="1" x14ac:dyDescent="0.25">
      <c r="C1015" s="2"/>
      <c r="D1015" s="2"/>
      <c r="E1015" s="2"/>
      <c r="F1015" s="2"/>
    </row>
    <row r="1016" spans="3:15" ht="18" hidden="1" x14ac:dyDescent="0.25">
      <c r="C1016" s="2"/>
      <c r="D1016" s="2"/>
      <c r="E1016" s="2"/>
      <c r="F1016" s="2"/>
    </row>
    <row r="1017" spans="3:15" ht="18" hidden="1" x14ac:dyDescent="0.25">
      <c r="C1017" s="2"/>
      <c r="D1017" s="2"/>
      <c r="E1017" s="2"/>
      <c r="F1017" s="2"/>
    </row>
    <row r="1018" spans="3:15" ht="18" hidden="1" x14ac:dyDescent="0.25">
      <c r="C1018" s="2"/>
      <c r="D1018" s="2"/>
      <c r="E1018" s="2"/>
      <c r="F1018" s="2"/>
    </row>
    <row r="1019" spans="3:15" ht="18" hidden="1" x14ac:dyDescent="0.25">
      <c r="C1019" s="2"/>
      <c r="D1019" s="2"/>
      <c r="E1019" s="2"/>
      <c r="F1019" s="2"/>
    </row>
    <row r="1020" spans="3:15" ht="18" hidden="1" x14ac:dyDescent="0.25">
      <c r="C1020" s="2"/>
      <c r="D1020" s="2"/>
      <c r="E1020" s="2"/>
      <c r="F1020" s="2"/>
    </row>
    <row r="1021" spans="3:15" ht="18" hidden="1" x14ac:dyDescent="0.25">
      <c r="C1021" s="2"/>
      <c r="D1021" s="2"/>
      <c r="E1021" s="2"/>
      <c r="F1021" s="2"/>
    </row>
    <row r="1022" spans="3:15" ht="18" hidden="1" x14ac:dyDescent="0.25">
      <c r="C1022" s="2"/>
      <c r="D1022" s="2"/>
      <c r="E1022" s="2"/>
      <c r="F1022" s="2"/>
    </row>
    <row r="1023" spans="3:15" ht="18" hidden="1" x14ac:dyDescent="0.25">
      <c r="C1023" s="2"/>
      <c r="D1023" s="2"/>
      <c r="E1023" s="2"/>
      <c r="F1023" s="2"/>
    </row>
    <row r="1024" spans="3:15" ht="18" hidden="1" x14ac:dyDescent="0.25">
      <c r="C1024" s="2"/>
      <c r="D1024" s="2"/>
      <c r="E1024" s="2"/>
      <c r="F1024" s="2"/>
    </row>
    <row r="1025" spans="3:6" ht="18" hidden="1" x14ac:dyDescent="0.25">
      <c r="C1025" s="2"/>
      <c r="D1025" s="2"/>
      <c r="E1025" s="2"/>
      <c r="F1025" s="2"/>
    </row>
    <row r="1026" spans="3:6" ht="18" hidden="1" x14ac:dyDescent="0.25">
      <c r="C1026" s="2"/>
      <c r="D1026" s="2"/>
      <c r="E1026" s="2"/>
      <c r="F1026" s="2"/>
    </row>
    <row r="1027" spans="3:6" ht="18" hidden="1" x14ac:dyDescent="0.25">
      <c r="C1027" s="2"/>
      <c r="D1027" s="2"/>
      <c r="E1027" s="2"/>
      <c r="F1027" s="2"/>
    </row>
    <row r="1028" spans="3:6" ht="18" hidden="1" x14ac:dyDescent="0.25">
      <c r="C1028" s="2"/>
      <c r="D1028" s="2"/>
      <c r="E1028" s="2"/>
      <c r="F1028" s="2"/>
    </row>
    <row r="1029" spans="3:6" ht="18" hidden="1" x14ac:dyDescent="0.25">
      <c r="C1029" s="2"/>
      <c r="D1029" s="2"/>
      <c r="E1029" s="2"/>
      <c r="F1029" s="2"/>
    </row>
    <row r="1030" spans="3:6" ht="18" hidden="1" x14ac:dyDescent="0.25">
      <c r="C1030" s="2"/>
      <c r="D1030" s="2"/>
      <c r="E1030" s="2"/>
      <c r="F1030" s="2"/>
    </row>
    <row r="1031" spans="3:6" ht="18" hidden="1" x14ac:dyDescent="0.25">
      <c r="C1031" s="2"/>
      <c r="D1031" s="2"/>
      <c r="E1031" s="2"/>
      <c r="F1031" s="2"/>
    </row>
    <row r="1032" spans="3:6" ht="18" hidden="1" x14ac:dyDescent="0.25">
      <c r="C1032" s="2"/>
      <c r="D1032" s="2"/>
      <c r="E1032" s="2"/>
      <c r="F1032" s="2"/>
    </row>
    <row r="1033" spans="3:6" ht="18" hidden="1" x14ac:dyDescent="0.25">
      <c r="C1033" s="2"/>
      <c r="D1033" s="2"/>
      <c r="E1033" s="2"/>
      <c r="F1033" s="2"/>
    </row>
    <row r="1034" spans="3:6" ht="18" hidden="1" x14ac:dyDescent="0.25">
      <c r="C1034" s="2"/>
      <c r="D1034" s="2"/>
      <c r="E1034" s="2"/>
      <c r="F1034" s="2"/>
    </row>
    <row r="1035" spans="3:6" ht="18" hidden="1" x14ac:dyDescent="0.25">
      <c r="C1035" s="2"/>
      <c r="D1035" s="2"/>
      <c r="E1035" s="2"/>
      <c r="F1035" s="2"/>
    </row>
    <row r="1036" spans="3:6" ht="18" hidden="1" x14ac:dyDescent="0.25">
      <c r="C1036" s="2"/>
      <c r="D1036" s="2"/>
      <c r="E1036" s="2"/>
      <c r="F1036" s="2"/>
    </row>
    <row r="1037" spans="3:6" ht="18" hidden="1" x14ac:dyDescent="0.25">
      <c r="C1037" s="2"/>
      <c r="D1037" s="2"/>
      <c r="E1037" s="2"/>
      <c r="F1037" s="2"/>
    </row>
    <row r="1038" spans="3:6" ht="18" hidden="1" x14ac:dyDescent="0.25">
      <c r="C1038" s="2"/>
      <c r="D1038" s="2"/>
      <c r="E1038" s="2"/>
      <c r="F1038" s="2"/>
    </row>
    <row r="1039" spans="3:6" ht="18" hidden="1" x14ac:dyDescent="0.25">
      <c r="C1039" s="2"/>
      <c r="D1039" s="2"/>
      <c r="E1039" s="2"/>
      <c r="F1039" s="2"/>
    </row>
    <row r="1040" spans="3:6" ht="18" hidden="1" x14ac:dyDescent="0.25">
      <c r="C1040" s="2"/>
      <c r="D1040" s="2"/>
      <c r="E1040" s="2"/>
      <c r="F1040" s="2"/>
    </row>
    <row r="1041" spans="3:6" ht="18" hidden="1" x14ac:dyDescent="0.25">
      <c r="C1041" s="2"/>
      <c r="D1041" s="2"/>
      <c r="E1041" s="2"/>
      <c r="F1041" s="2"/>
    </row>
    <row r="1042" spans="3:6" ht="18" hidden="1" x14ac:dyDescent="0.25">
      <c r="C1042" s="2"/>
      <c r="D1042" s="2"/>
      <c r="E1042" s="2"/>
      <c r="F1042" s="2"/>
    </row>
    <row r="1043" spans="3:6" ht="18" hidden="1" x14ac:dyDescent="0.25">
      <c r="C1043" s="2"/>
      <c r="D1043" s="2"/>
      <c r="E1043" s="2"/>
      <c r="F1043" s="2"/>
    </row>
    <row r="1044" spans="3:6" ht="18" hidden="1" x14ac:dyDescent="0.25">
      <c r="C1044" s="2"/>
      <c r="D1044" s="2"/>
      <c r="E1044" s="2"/>
      <c r="F1044" s="2"/>
    </row>
    <row r="1045" spans="3:6" ht="18" hidden="1" x14ac:dyDescent="0.25">
      <c r="C1045" s="2"/>
      <c r="D1045" s="2"/>
      <c r="E1045" s="2"/>
      <c r="F1045" s="2"/>
    </row>
    <row r="1046" spans="3:6" ht="18" hidden="1" x14ac:dyDescent="0.25">
      <c r="C1046" s="2"/>
      <c r="D1046" s="2"/>
      <c r="E1046" s="2"/>
      <c r="F1046" s="2"/>
    </row>
    <row r="1047" spans="3:6" ht="18" hidden="1" x14ac:dyDescent="0.25">
      <c r="C1047" s="2"/>
      <c r="D1047" s="2"/>
      <c r="E1047" s="2"/>
      <c r="F1047" s="2"/>
    </row>
    <row r="1048" spans="3:6" ht="18" hidden="1" x14ac:dyDescent="0.25">
      <c r="C1048" s="2"/>
      <c r="D1048" s="2"/>
      <c r="E1048" s="2"/>
      <c r="F1048" s="2"/>
    </row>
    <row r="1049" spans="3:6" ht="18" hidden="1" x14ac:dyDescent="0.25">
      <c r="C1049" s="2"/>
      <c r="D1049" s="2"/>
      <c r="E1049" s="2"/>
      <c r="F1049" s="2"/>
    </row>
    <row r="1050" spans="3:6" ht="18" hidden="1" x14ac:dyDescent="0.25">
      <c r="C1050" s="2"/>
      <c r="D1050" s="2"/>
      <c r="E1050" s="2"/>
      <c r="F1050" s="2"/>
    </row>
    <row r="1051" spans="3:6" ht="18" hidden="1" x14ac:dyDescent="0.25">
      <c r="C1051" s="2"/>
      <c r="D1051" s="2"/>
      <c r="E1051" s="2"/>
      <c r="F1051" s="2"/>
    </row>
    <row r="1052" spans="3:6" ht="18" hidden="1" x14ac:dyDescent="0.25">
      <c r="C1052" s="2"/>
      <c r="D1052" s="2"/>
      <c r="E1052" s="2"/>
      <c r="F1052" s="2"/>
    </row>
    <row r="1053" spans="3:6" ht="18" hidden="1" x14ac:dyDescent="0.25">
      <c r="C1053" s="2"/>
      <c r="D1053" s="2"/>
      <c r="E1053" s="2"/>
      <c r="F1053" s="2"/>
    </row>
    <row r="1054" spans="3:6" ht="18" hidden="1" x14ac:dyDescent="0.25">
      <c r="C1054" s="2"/>
      <c r="D1054" s="2"/>
      <c r="E1054" s="2"/>
      <c r="F1054" s="2"/>
    </row>
    <row r="1055" spans="3:6" ht="18" hidden="1" x14ac:dyDescent="0.25">
      <c r="C1055" s="2"/>
      <c r="D1055" s="2"/>
      <c r="E1055" s="2"/>
      <c r="F1055" s="2"/>
    </row>
    <row r="1056" spans="3:6" ht="18" hidden="1" x14ac:dyDescent="0.25">
      <c r="C1056" s="2"/>
      <c r="D1056" s="2"/>
      <c r="E1056" s="2"/>
      <c r="F1056" s="2"/>
    </row>
    <row r="1057" spans="3:6" ht="18" hidden="1" x14ac:dyDescent="0.25">
      <c r="C1057" s="2"/>
      <c r="D1057" s="2"/>
      <c r="E1057" s="2"/>
      <c r="F1057" s="2"/>
    </row>
    <row r="1058" spans="3:6" ht="18" hidden="1" x14ac:dyDescent="0.25">
      <c r="C1058" s="2"/>
      <c r="D1058" s="2"/>
      <c r="E1058" s="2"/>
      <c r="F1058" s="2"/>
    </row>
    <row r="1059" spans="3:6" ht="18" hidden="1" x14ac:dyDescent="0.25">
      <c r="C1059" s="2"/>
      <c r="D1059" s="2"/>
      <c r="E1059" s="2"/>
      <c r="F1059" s="2"/>
    </row>
    <row r="1060" spans="3:6" ht="18" hidden="1" x14ac:dyDescent="0.25">
      <c r="C1060" s="2"/>
      <c r="D1060" s="2"/>
      <c r="E1060" s="2"/>
      <c r="F1060" s="2"/>
    </row>
    <row r="1061" spans="3:6" ht="18" hidden="1" x14ac:dyDescent="0.25">
      <c r="C1061" s="2"/>
      <c r="D1061" s="2"/>
      <c r="E1061" s="2"/>
      <c r="F1061" s="2"/>
    </row>
    <row r="1062" spans="3:6" ht="18" hidden="1" x14ac:dyDescent="0.25">
      <c r="C1062" s="2"/>
      <c r="D1062" s="2"/>
      <c r="E1062" s="2"/>
      <c r="F1062" s="2"/>
    </row>
    <row r="1063" spans="3:6" ht="18" hidden="1" x14ac:dyDescent="0.25">
      <c r="C1063" s="2"/>
      <c r="D1063" s="2"/>
      <c r="E1063" s="2"/>
      <c r="F1063" s="2"/>
    </row>
    <row r="1064" spans="3:6" ht="18" hidden="1" x14ac:dyDescent="0.25">
      <c r="C1064" s="2"/>
      <c r="D1064" s="2"/>
      <c r="E1064" s="2"/>
      <c r="F1064" s="2"/>
    </row>
    <row r="1065" spans="3:6" ht="18" hidden="1" x14ac:dyDescent="0.25">
      <c r="C1065" s="2"/>
      <c r="D1065" s="2"/>
      <c r="E1065" s="2"/>
      <c r="F1065" s="2"/>
    </row>
    <row r="1066" spans="3:6" ht="18" hidden="1" x14ac:dyDescent="0.25">
      <c r="C1066" s="2"/>
      <c r="D1066" s="2"/>
      <c r="E1066" s="2"/>
      <c r="F1066" s="2"/>
    </row>
    <row r="1067" spans="3:6" ht="18" hidden="1" x14ac:dyDescent="0.25">
      <c r="C1067" s="2"/>
      <c r="D1067" s="2"/>
      <c r="E1067" s="2"/>
      <c r="F1067" s="2"/>
    </row>
    <row r="1068" spans="3:6" ht="18" hidden="1" x14ac:dyDescent="0.25">
      <c r="C1068" s="2"/>
      <c r="D1068" s="2"/>
      <c r="E1068" s="2"/>
      <c r="F1068" s="2"/>
    </row>
    <row r="1069" spans="3:6" ht="18" hidden="1" x14ac:dyDescent="0.25">
      <c r="C1069" s="2"/>
      <c r="D1069" s="2"/>
      <c r="E1069" s="2"/>
      <c r="F1069" s="2"/>
    </row>
    <row r="1070" spans="3:6" ht="18" hidden="1" x14ac:dyDescent="0.25">
      <c r="C1070" s="2"/>
      <c r="D1070" s="2"/>
      <c r="E1070" s="2"/>
      <c r="F1070" s="2"/>
    </row>
    <row r="1071" spans="3:6" ht="18" hidden="1" x14ac:dyDescent="0.25">
      <c r="C1071" s="2"/>
      <c r="D1071" s="2"/>
      <c r="E1071" s="2"/>
      <c r="F1071" s="2"/>
    </row>
    <row r="1072" spans="3:6" ht="18" hidden="1" x14ac:dyDescent="0.25">
      <c r="C1072" s="2"/>
      <c r="D1072" s="2"/>
      <c r="E1072" s="2"/>
      <c r="F1072" s="2"/>
    </row>
    <row r="1073" spans="3:6" ht="18" hidden="1" x14ac:dyDescent="0.25">
      <c r="C1073" s="2"/>
      <c r="D1073" s="2"/>
      <c r="E1073" s="2"/>
      <c r="F1073" s="2"/>
    </row>
    <row r="1074" spans="3:6" ht="18" hidden="1" x14ac:dyDescent="0.25">
      <c r="C1074" s="2"/>
      <c r="D1074" s="2"/>
      <c r="E1074" s="2"/>
      <c r="F1074" s="2"/>
    </row>
    <row r="1075" spans="3:6" ht="18" hidden="1" x14ac:dyDescent="0.25">
      <c r="C1075" s="2"/>
      <c r="D1075" s="2"/>
      <c r="E1075" s="2"/>
      <c r="F1075" s="2"/>
    </row>
    <row r="1076" spans="3:6" ht="18" hidden="1" x14ac:dyDescent="0.25">
      <c r="C1076" s="2"/>
      <c r="D1076" s="2"/>
      <c r="E1076" s="2"/>
      <c r="F1076" s="2"/>
    </row>
    <row r="1077" spans="3:6" ht="18" hidden="1" x14ac:dyDescent="0.25">
      <c r="C1077" s="2"/>
      <c r="D1077" s="2"/>
      <c r="E1077" s="2"/>
      <c r="F1077" s="2"/>
    </row>
    <row r="1078" spans="3:6" ht="18" hidden="1" x14ac:dyDescent="0.25">
      <c r="C1078" s="2"/>
      <c r="D1078" s="2"/>
      <c r="E1078" s="2"/>
      <c r="F1078" s="2"/>
    </row>
    <row r="1079" spans="3:6" ht="18" hidden="1" x14ac:dyDescent="0.25">
      <c r="C1079" s="2"/>
      <c r="D1079" s="2"/>
      <c r="E1079" s="2"/>
      <c r="F1079" s="2"/>
    </row>
    <row r="1080" spans="3:6" ht="18" hidden="1" x14ac:dyDescent="0.25">
      <c r="C1080" s="2"/>
      <c r="D1080" s="2"/>
      <c r="E1080" s="2"/>
      <c r="F1080" s="2"/>
    </row>
    <row r="1081" spans="3:6" ht="18" hidden="1" x14ac:dyDescent="0.25">
      <c r="C1081" s="2"/>
      <c r="D1081" s="2"/>
      <c r="E1081" s="2"/>
      <c r="F1081" s="2"/>
    </row>
    <row r="1082" spans="3:6" ht="18" hidden="1" x14ac:dyDescent="0.25">
      <c r="C1082" s="2"/>
      <c r="D1082" s="2"/>
      <c r="E1082" s="2"/>
      <c r="F1082" s="2"/>
    </row>
    <row r="1083" spans="3:6" ht="18" hidden="1" x14ac:dyDescent="0.25">
      <c r="C1083" s="2"/>
      <c r="D1083" s="2"/>
      <c r="E1083" s="2"/>
      <c r="F1083" s="2"/>
    </row>
    <row r="1084" spans="3:6" ht="18" hidden="1" x14ac:dyDescent="0.25">
      <c r="C1084" s="2"/>
      <c r="D1084" s="2"/>
      <c r="E1084" s="2"/>
      <c r="F1084" s="2"/>
    </row>
    <row r="1085" spans="3:6" ht="18" hidden="1" x14ac:dyDescent="0.25">
      <c r="C1085" s="2"/>
      <c r="D1085" s="2"/>
      <c r="E1085" s="2"/>
      <c r="F1085" s="2"/>
    </row>
    <row r="1086" spans="3:6" ht="18" hidden="1" x14ac:dyDescent="0.25">
      <c r="C1086" s="2"/>
      <c r="D1086" s="2"/>
      <c r="E1086" s="2"/>
      <c r="F1086" s="2"/>
    </row>
    <row r="1087" spans="3:6" ht="18" hidden="1" x14ac:dyDescent="0.25">
      <c r="C1087" s="2"/>
      <c r="D1087" s="2"/>
      <c r="E1087" s="2"/>
      <c r="F1087" s="2"/>
    </row>
    <row r="1088" spans="3:6" ht="18" hidden="1" x14ac:dyDescent="0.25">
      <c r="C1088" s="2"/>
      <c r="D1088" s="2"/>
      <c r="E1088" s="2"/>
      <c r="F1088" s="2"/>
    </row>
    <row r="1089" spans="3:6" ht="18" hidden="1" x14ac:dyDescent="0.25">
      <c r="C1089" s="2"/>
      <c r="D1089" s="2"/>
      <c r="E1089" s="2"/>
      <c r="F1089" s="2"/>
    </row>
    <row r="1090" spans="3:6" ht="18" hidden="1" x14ac:dyDescent="0.25">
      <c r="C1090" s="2"/>
      <c r="D1090" s="2"/>
      <c r="E1090" s="2"/>
      <c r="F1090" s="2"/>
    </row>
    <row r="1091" spans="3:6" ht="18" hidden="1" x14ac:dyDescent="0.25">
      <c r="C1091" s="2"/>
      <c r="D1091" s="2"/>
      <c r="E1091" s="2"/>
      <c r="F1091" s="2"/>
    </row>
    <row r="1092" spans="3:6" ht="18" hidden="1" x14ac:dyDescent="0.25">
      <c r="C1092" s="2"/>
      <c r="D1092" s="2"/>
      <c r="E1092" s="2"/>
      <c r="F1092" s="2"/>
    </row>
    <row r="1093" spans="3:6" ht="18" hidden="1" x14ac:dyDescent="0.25">
      <c r="C1093" s="2"/>
      <c r="D1093" s="2"/>
      <c r="E1093" s="2"/>
      <c r="F1093" s="2"/>
    </row>
    <row r="1094" spans="3:6" ht="18" hidden="1" x14ac:dyDescent="0.25">
      <c r="C1094" s="2"/>
      <c r="D1094" s="2"/>
      <c r="E1094" s="2"/>
      <c r="F1094" s="2"/>
    </row>
    <row r="1095" spans="3:6" ht="18" hidden="1" x14ac:dyDescent="0.25">
      <c r="C1095" s="2"/>
      <c r="D1095" s="2"/>
      <c r="E1095" s="2"/>
      <c r="F1095" s="2"/>
    </row>
    <row r="1096" spans="3:6" ht="18" hidden="1" x14ac:dyDescent="0.25">
      <c r="C1096" s="2"/>
      <c r="D1096" s="2"/>
      <c r="E1096" s="2"/>
      <c r="F1096" s="2"/>
    </row>
    <row r="1097" spans="3:6" ht="18" hidden="1" x14ac:dyDescent="0.25">
      <c r="C1097" s="2"/>
      <c r="D1097" s="2"/>
      <c r="E1097" s="2"/>
      <c r="F1097" s="2"/>
    </row>
    <row r="1098" spans="3:6" ht="18" hidden="1" x14ac:dyDescent="0.25">
      <c r="C1098" s="2"/>
      <c r="D1098" s="2"/>
      <c r="E1098" s="2"/>
      <c r="F1098" s="2"/>
    </row>
    <row r="1099" spans="3:6" ht="18" hidden="1" x14ac:dyDescent="0.25">
      <c r="C1099" s="2"/>
      <c r="D1099" s="2"/>
      <c r="E1099" s="2"/>
      <c r="F1099" s="2"/>
    </row>
    <row r="1100" spans="3:6" ht="18" hidden="1" x14ac:dyDescent="0.25">
      <c r="C1100" s="2"/>
      <c r="D1100" s="2"/>
      <c r="E1100" s="2"/>
      <c r="F1100" s="2"/>
    </row>
    <row r="1101" spans="3:6" ht="18" hidden="1" x14ac:dyDescent="0.25">
      <c r="C1101" s="2"/>
      <c r="D1101" s="2"/>
      <c r="E1101" s="2"/>
      <c r="F1101" s="2"/>
    </row>
    <row r="1102" spans="3:6" ht="18" hidden="1" x14ac:dyDescent="0.25">
      <c r="C1102" s="2"/>
      <c r="D1102" s="2"/>
      <c r="E1102" s="2"/>
      <c r="F1102" s="2"/>
    </row>
    <row r="1103" spans="3:6" ht="18" hidden="1" x14ac:dyDescent="0.25">
      <c r="C1103" s="2"/>
      <c r="D1103" s="2"/>
      <c r="E1103" s="2"/>
      <c r="F1103" s="2"/>
    </row>
    <row r="1104" spans="3:6" ht="18" hidden="1" x14ac:dyDescent="0.25">
      <c r="C1104" s="2"/>
      <c r="D1104" s="2"/>
      <c r="E1104" s="2"/>
      <c r="F1104" s="2"/>
    </row>
    <row r="1105" spans="3:6" ht="18" hidden="1" x14ac:dyDescent="0.25">
      <c r="C1105" s="2"/>
      <c r="D1105" s="2"/>
      <c r="E1105" s="2"/>
      <c r="F1105" s="2"/>
    </row>
    <row r="1106" spans="3:6" ht="18" hidden="1" x14ac:dyDescent="0.25">
      <c r="C1106" s="2"/>
      <c r="D1106" s="2"/>
      <c r="E1106" s="2"/>
      <c r="F1106" s="2"/>
    </row>
    <row r="1107" spans="3:6" ht="18" hidden="1" x14ac:dyDescent="0.25">
      <c r="C1107" s="2"/>
      <c r="D1107" s="2"/>
      <c r="E1107" s="2"/>
      <c r="F1107" s="2"/>
    </row>
    <row r="1108" spans="3:6" ht="18" hidden="1" x14ac:dyDescent="0.25">
      <c r="C1108" s="2"/>
      <c r="D1108" s="2"/>
      <c r="E1108" s="2"/>
      <c r="F1108" s="2"/>
    </row>
    <row r="1109" spans="3:6" ht="18" hidden="1" x14ac:dyDescent="0.25">
      <c r="C1109" s="2"/>
      <c r="D1109" s="2"/>
      <c r="E1109" s="2"/>
      <c r="F1109" s="2"/>
    </row>
    <row r="1110" spans="3:6" ht="18" hidden="1" x14ac:dyDescent="0.25">
      <c r="C1110" s="2"/>
      <c r="D1110" s="2"/>
      <c r="E1110" s="2"/>
      <c r="F1110" s="2"/>
    </row>
    <row r="1111" spans="3:6" ht="18" hidden="1" x14ac:dyDescent="0.25">
      <c r="C1111" s="2"/>
      <c r="D1111" s="2"/>
      <c r="E1111" s="2"/>
      <c r="F1111" s="2"/>
    </row>
    <row r="1112" spans="3:6" ht="18" hidden="1" x14ac:dyDescent="0.25">
      <c r="C1112" s="2"/>
      <c r="D1112" s="2"/>
      <c r="E1112" s="2"/>
      <c r="F1112" s="2"/>
    </row>
    <row r="1113" spans="3:6" ht="18" hidden="1" x14ac:dyDescent="0.25">
      <c r="C1113" s="2"/>
      <c r="D1113" s="2"/>
      <c r="E1113" s="2"/>
      <c r="F1113" s="2"/>
    </row>
    <row r="1114" spans="3:6" ht="18" hidden="1" x14ac:dyDescent="0.25">
      <c r="C1114" s="2"/>
      <c r="D1114" s="2"/>
      <c r="E1114" s="2"/>
      <c r="F1114" s="2"/>
    </row>
    <row r="1115" spans="3:6" ht="18" hidden="1" x14ac:dyDescent="0.25">
      <c r="C1115" s="2"/>
      <c r="D1115" s="2"/>
      <c r="E1115" s="2"/>
      <c r="F1115" s="2"/>
    </row>
    <row r="1116" spans="3:6" ht="18" hidden="1" x14ac:dyDescent="0.25">
      <c r="C1116" s="2"/>
      <c r="D1116" s="2"/>
      <c r="E1116" s="2"/>
      <c r="F1116" s="2"/>
    </row>
    <row r="1117" spans="3:6" ht="18" hidden="1" x14ac:dyDescent="0.25">
      <c r="C1117" s="2"/>
      <c r="D1117" s="2"/>
      <c r="E1117" s="2"/>
      <c r="F1117" s="2"/>
    </row>
    <row r="1118" spans="3:6" ht="18" hidden="1" x14ac:dyDescent="0.25">
      <c r="C1118" s="2"/>
      <c r="D1118" s="2"/>
      <c r="E1118" s="2"/>
      <c r="F1118" s="2"/>
    </row>
    <row r="1119" spans="3:6" ht="18" hidden="1" x14ac:dyDescent="0.25">
      <c r="C1119" s="2"/>
      <c r="D1119" s="2"/>
      <c r="E1119" s="2"/>
      <c r="F1119" s="2"/>
    </row>
    <row r="1120" spans="3:6" ht="18" hidden="1" x14ac:dyDescent="0.25">
      <c r="C1120" s="2"/>
      <c r="D1120" s="2"/>
      <c r="E1120" s="2"/>
      <c r="F1120" s="2"/>
    </row>
    <row r="1121" spans="3:6" ht="18" hidden="1" x14ac:dyDescent="0.25">
      <c r="C1121" s="2"/>
      <c r="D1121" s="2"/>
      <c r="E1121" s="2"/>
      <c r="F1121" s="2"/>
    </row>
    <row r="1122" spans="3:6" ht="18" hidden="1" x14ac:dyDescent="0.25">
      <c r="C1122" s="2"/>
      <c r="D1122" s="2"/>
      <c r="E1122" s="2"/>
      <c r="F1122" s="2"/>
    </row>
    <row r="1123" spans="3:6" ht="18" hidden="1" x14ac:dyDescent="0.25">
      <c r="C1123" s="2"/>
      <c r="D1123" s="2"/>
      <c r="E1123" s="2"/>
      <c r="F1123" s="2"/>
    </row>
    <row r="1124" spans="3:6" ht="18" hidden="1" x14ac:dyDescent="0.25">
      <c r="C1124" s="2"/>
      <c r="D1124" s="2"/>
      <c r="E1124" s="2"/>
      <c r="F1124" s="2"/>
    </row>
    <row r="1125" spans="3:6" ht="18" hidden="1" x14ac:dyDescent="0.25">
      <c r="C1125" s="2"/>
      <c r="D1125" s="2"/>
      <c r="E1125" s="2"/>
      <c r="F1125" s="2"/>
    </row>
    <row r="1126" spans="3:6" ht="18" hidden="1" x14ac:dyDescent="0.25">
      <c r="C1126" s="2"/>
      <c r="D1126" s="2"/>
      <c r="E1126" s="2"/>
      <c r="F1126" s="2"/>
    </row>
    <row r="1127" spans="3:6" ht="18" hidden="1" x14ac:dyDescent="0.25">
      <c r="C1127" s="2"/>
      <c r="D1127" s="2"/>
      <c r="E1127" s="2"/>
      <c r="F1127" s="2"/>
    </row>
    <row r="1128" spans="3:6" ht="18" hidden="1" x14ac:dyDescent="0.25">
      <c r="C1128" s="2"/>
      <c r="D1128" s="2"/>
      <c r="E1128" s="2"/>
      <c r="F1128" s="2"/>
    </row>
    <row r="1129" spans="3:6" ht="18" hidden="1" x14ac:dyDescent="0.25">
      <c r="C1129" s="2"/>
      <c r="D1129" s="2"/>
      <c r="E1129" s="2"/>
      <c r="F1129" s="2"/>
    </row>
    <row r="1130" spans="3:6" ht="18" hidden="1" x14ac:dyDescent="0.25">
      <c r="C1130" s="2"/>
      <c r="D1130" s="2"/>
      <c r="E1130" s="2"/>
      <c r="F1130" s="2"/>
    </row>
    <row r="1131" spans="3:6" ht="18" hidden="1" x14ac:dyDescent="0.25">
      <c r="C1131" s="2"/>
      <c r="D1131" s="2"/>
      <c r="E1131" s="2"/>
      <c r="F1131" s="2"/>
    </row>
    <row r="1132" spans="3:6" ht="18" hidden="1" x14ac:dyDescent="0.25">
      <c r="C1132" s="2"/>
      <c r="D1132" s="2"/>
      <c r="E1132" s="2"/>
      <c r="F1132" s="2"/>
    </row>
    <row r="1133" spans="3:6" ht="18" hidden="1" x14ac:dyDescent="0.25">
      <c r="C1133" s="2"/>
      <c r="D1133" s="2"/>
      <c r="E1133" s="2"/>
      <c r="F1133" s="2"/>
    </row>
    <row r="1134" spans="3:6" ht="18" hidden="1" x14ac:dyDescent="0.25">
      <c r="C1134" s="2"/>
      <c r="D1134" s="2"/>
      <c r="E1134" s="2"/>
      <c r="F1134" s="2"/>
    </row>
    <row r="1135" spans="3:6" ht="18" hidden="1" x14ac:dyDescent="0.25">
      <c r="C1135" s="2"/>
      <c r="D1135" s="2"/>
      <c r="E1135" s="2"/>
      <c r="F1135" s="2"/>
    </row>
    <row r="1136" spans="3:6" ht="18" hidden="1" x14ac:dyDescent="0.25">
      <c r="C1136" s="2"/>
      <c r="D1136" s="2"/>
      <c r="E1136" s="2"/>
      <c r="F1136" s="2"/>
    </row>
    <row r="1137" spans="3:6" ht="18" hidden="1" x14ac:dyDescent="0.25">
      <c r="C1137" s="2"/>
      <c r="D1137" s="2"/>
      <c r="E1137" s="2"/>
      <c r="F1137" s="2"/>
    </row>
    <row r="1138" spans="3:6" ht="18" hidden="1" x14ac:dyDescent="0.25">
      <c r="C1138" s="2"/>
      <c r="D1138" s="2"/>
      <c r="E1138" s="2"/>
      <c r="F1138" s="2"/>
    </row>
    <row r="1139" spans="3:6" ht="18" hidden="1" x14ac:dyDescent="0.25">
      <c r="C1139" s="2"/>
      <c r="D1139" s="2"/>
      <c r="E1139" s="2"/>
      <c r="F1139" s="2"/>
    </row>
    <row r="1140" spans="3:6" ht="18" hidden="1" x14ac:dyDescent="0.25">
      <c r="C1140" s="2"/>
      <c r="D1140" s="2"/>
      <c r="E1140" s="2"/>
      <c r="F1140" s="2"/>
    </row>
    <row r="1141" spans="3:6" ht="18" hidden="1" x14ac:dyDescent="0.25">
      <c r="C1141" s="2"/>
      <c r="D1141" s="2"/>
      <c r="E1141" s="2"/>
      <c r="F1141" s="2"/>
    </row>
    <row r="1142" spans="3:6" ht="18" hidden="1" x14ac:dyDescent="0.25">
      <c r="C1142" s="2"/>
      <c r="D1142" s="2"/>
      <c r="E1142" s="2"/>
      <c r="F1142" s="2"/>
    </row>
    <row r="1143" spans="3:6" ht="18" hidden="1" x14ac:dyDescent="0.25">
      <c r="C1143" s="2"/>
      <c r="D1143" s="2"/>
      <c r="E1143" s="2"/>
      <c r="F1143" s="2"/>
    </row>
    <row r="1144" spans="3:6" ht="18" hidden="1" x14ac:dyDescent="0.25">
      <c r="C1144" s="2"/>
      <c r="D1144" s="2"/>
      <c r="E1144" s="2"/>
      <c r="F1144" s="2"/>
    </row>
    <row r="1145" spans="3:6" ht="18" hidden="1" x14ac:dyDescent="0.25">
      <c r="C1145" s="2"/>
      <c r="D1145" s="2"/>
      <c r="E1145" s="2"/>
      <c r="F1145" s="2"/>
    </row>
    <row r="1146" spans="3:6" ht="18" hidden="1" x14ac:dyDescent="0.25">
      <c r="C1146" s="2"/>
      <c r="D1146" s="2"/>
      <c r="E1146" s="2"/>
      <c r="F1146" s="2"/>
    </row>
    <row r="1147" spans="3:6" ht="18" hidden="1" x14ac:dyDescent="0.25">
      <c r="C1147" s="2"/>
      <c r="D1147" s="2"/>
      <c r="E1147" s="2"/>
      <c r="F1147" s="2"/>
    </row>
    <row r="1148" spans="3:6" ht="18" hidden="1" x14ac:dyDescent="0.25">
      <c r="C1148" s="2"/>
      <c r="D1148" s="2"/>
      <c r="E1148" s="2"/>
      <c r="F1148" s="2"/>
    </row>
    <row r="1149" spans="3:6" ht="18" hidden="1" x14ac:dyDescent="0.25">
      <c r="C1149" s="2"/>
      <c r="D1149" s="2"/>
      <c r="E1149" s="2"/>
      <c r="F1149" s="2"/>
    </row>
    <row r="1150" spans="3:6" ht="18" hidden="1" x14ac:dyDescent="0.25">
      <c r="C1150" s="2"/>
      <c r="D1150" s="2"/>
      <c r="E1150" s="2"/>
      <c r="F1150" s="2"/>
    </row>
    <row r="1151" spans="3:6" ht="18" hidden="1" x14ac:dyDescent="0.25">
      <c r="C1151" s="2"/>
      <c r="D1151" s="2"/>
      <c r="E1151" s="2"/>
      <c r="F1151" s="2"/>
    </row>
    <row r="1152" spans="3:6" ht="18" hidden="1" x14ac:dyDescent="0.25">
      <c r="C1152" s="2"/>
      <c r="D1152" s="2"/>
      <c r="E1152" s="2"/>
      <c r="F1152" s="2"/>
    </row>
    <row r="1153" spans="3:6" ht="18" hidden="1" x14ac:dyDescent="0.25">
      <c r="C1153" s="2"/>
      <c r="D1153" s="2"/>
      <c r="E1153" s="2"/>
      <c r="F1153" s="2"/>
    </row>
    <row r="1154" spans="3:6" ht="18" hidden="1" x14ac:dyDescent="0.25">
      <c r="C1154" s="2"/>
      <c r="D1154" s="2"/>
      <c r="E1154" s="2"/>
      <c r="F1154" s="2"/>
    </row>
    <row r="1155" spans="3:6" ht="18" hidden="1" x14ac:dyDescent="0.25">
      <c r="C1155" s="2"/>
      <c r="D1155" s="2"/>
      <c r="E1155" s="2"/>
      <c r="F1155" s="2"/>
    </row>
    <row r="1156" spans="3:6" ht="18" hidden="1" x14ac:dyDescent="0.25">
      <c r="C1156" s="2"/>
      <c r="D1156" s="2"/>
      <c r="E1156" s="2"/>
      <c r="F1156" s="2"/>
    </row>
    <row r="1157" spans="3:6" ht="18" hidden="1" x14ac:dyDescent="0.25">
      <c r="C1157" s="2"/>
      <c r="D1157" s="2"/>
      <c r="E1157" s="2"/>
      <c r="F1157" s="2"/>
    </row>
    <row r="1158" spans="3:6" ht="18" hidden="1" x14ac:dyDescent="0.25">
      <c r="C1158" s="2"/>
      <c r="D1158" s="2"/>
      <c r="E1158" s="2"/>
      <c r="F1158" s="2"/>
    </row>
    <row r="1159" spans="3:6" ht="18" hidden="1" x14ac:dyDescent="0.25">
      <c r="C1159" s="2"/>
      <c r="D1159" s="2"/>
      <c r="E1159" s="2"/>
      <c r="F1159" s="2"/>
    </row>
    <row r="1160" spans="3:6" ht="18" hidden="1" x14ac:dyDescent="0.25">
      <c r="C1160" s="2"/>
      <c r="D1160" s="2"/>
      <c r="E1160" s="2"/>
      <c r="F1160" s="2"/>
    </row>
    <row r="1161" spans="3:6" ht="18" hidden="1" x14ac:dyDescent="0.25">
      <c r="C1161" s="2"/>
      <c r="D1161" s="2"/>
      <c r="E1161" s="2"/>
      <c r="F1161" s="2"/>
    </row>
    <row r="1162" spans="3:6" ht="18" hidden="1" x14ac:dyDescent="0.25">
      <c r="C1162" s="2"/>
      <c r="D1162" s="2"/>
      <c r="E1162" s="2"/>
      <c r="F1162" s="2"/>
    </row>
    <row r="1163" spans="3:6" ht="18" hidden="1" x14ac:dyDescent="0.25">
      <c r="C1163" s="2"/>
      <c r="D1163" s="2"/>
      <c r="E1163" s="2"/>
      <c r="F1163" s="2"/>
    </row>
    <row r="1164" spans="3:6" ht="18" hidden="1" x14ac:dyDescent="0.25">
      <c r="C1164" s="2"/>
      <c r="D1164" s="2"/>
      <c r="E1164" s="2"/>
      <c r="F1164" s="2"/>
    </row>
    <row r="1165" spans="3:6" ht="18" hidden="1" x14ac:dyDescent="0.25">
      <c r="C1165" s="2"/>
      <c r="D1165" s="2"/>
      <c r="E1165" s="2"/>
      <c r="F1165" s="2"/>
    </row>
    <row r="1166" spans="3:6" ht="18" hidden="1" x14ac:dyDescent="0.25">
      <c r="C1166" s="2"/>
      <c r="D1166" s="2"/>
      <c r="E1166" s="2"/>
      <c r="F1166" s="2"/>
    </row>
    <row r="1167" spans="3:6" ht="18" hidden="1" x14ac:dyDescent="0.25">
      <c r="C1167" s="2"/>
      <c r="D1167" s="2"/>
      <c r="E1167" s="2"/>
      <c r="F1167" s="2"/>
    </row>
    <row r="1168" spans="3:6" ht="18" hidden="1" x14ac:dyDescent="0.25">
      <c r="C1168" s="2"/>
      <c r="D1168" s="2"/>
      <c r="E1168" s="2"/>
      <c r="F1168" s="2"/>
    </row>
    <row r="1169" spans="3:6" ht="18" hidden="1" x14ac:dyDescent="0.25">
      <c r="C1169" s="2"/>
      <c r="D1169" s="2"/>
      <c r="E1169" s="2"/>
      <c r="F1169" s="2"/>
    </row>
    <row r="1170" spans="3:6" ht="18" hidden="1" x14ac:dyDescent="0.25">
      <c r="C1170" s="2"/>
      <c r="D1170" s="2"/>
      <c r="E1170" s="2"/>
      <c r="F1170" s="2"/>
    </row>
    <row r="1171" spans="3:6" ht="18" hidden="1" x14ac:dyDescent="0.25">
      <c r="C1171" s="2"/>
      <c r="D1171" s="2"/>
      <c r="E1171" s="2"/>
      <c r="F1171" s="2"/>
    </row>
    <row r="1172" spans="3:6" ht="18" hidden="1" x14ac:dyDescent="0.25">
      <c r="C1172" s="2"/>
      <c r="D1172" s="2"/>
      <c r="E1172" s="2"/>
      <c r="F1172" s="2"/>
    </row>
    <row r="1173" spans="3:6" ht="18" hidden="1" x14ac:dyDescent="0.25">
      <c r="C1173" s="2"/>
      <c r="D1173" s="2"/>
      <c r="E1173" s="2"/>
      <c r="F1173" s="2"/>
    </row>
    <row r="1174" spans="3:6" ht="18" hidden="1" x14ac:dyDescent="0.25">
      <c r="C1174" s="2"/>
      <c r="D1174" s="2"/>
      <c r="E1174" s="2"/>
      <c r="F1174" s="2"/>
    </row>
    <row r="1175" spans="3:6" ht="18" hidden="1" x14ac:dyDescent="0.25">
      <c r="C1175" s="2"/>
      <c r="D1175" s="2"/>
      <c r="E1175" s="2"/>
      <c r="F1175" s="2"/>
    </row>
    <row r="1176" spans="3:6" ht="18" hidden="1" x14ac:dyDescent="0.25">
      <c r="C1176" s="2"/>
      <c r="D1176" s="2"/>
      <c r="E1176" s="2"/>
      <c r="F1176" s="2"/>
    </row>
    <row r="1177" spans="3:6" ht="18" hidden="1" x14ac:dyDescent="0.25">
      <c r="C1177" s="2"/>
      <c r="D1177" s="2"/>
      <c r="E1177" s="2"/>
      <c r="F1177" s="2"/>
    </row>
    <row r="1178" spans="3:6" ht="18" hidden="1" x14ac:dyDescent="0.25">
      <c r="C1178" s="2"/>
      <c r="D1178" s="2"/>
      <c r="E1178" s="2"/>
      <c r="F1178" s="2"/>
    </row>
    <row r="1179" spans="3:6" ht="18" hidden="1" x14ac:dyDescent="0.25">
      <c r="C1179" s="2"/>
      <c r="D1179" s="2"/>
      <c r="E1179" s="2"/>
      <c r="F1179" s="2"/>
    </row>
    <row r="1180" spans="3:6" ht="18" hidden="1" x14ac:dyDescent="0.25">
      <c r="C1180" s="2"/>
      <c r="D1180" s="2"/>
      <c r="E1180" s="2"/>
      <c r="F1180" s="2"/>
    </row>
    <row r="1181" spans="3:6" ht="18" hidden="1" x14ac:dyDescent="0.25">
      <c r="C1181" s="2"/>
      <c r="D1181" s="2"/>
      <c r="E1181" s="2"/>
      <c r="F1181" s="2"/>
    </row>
    <row r="1182" spans="3:6" ht="18" hidden="1" x14ac:dyDescent="0.25">
      <c r="C1182" s="2"/>
      <c r="D1182" s="2"/>
      <c r="E1182" s="2"/>
      <c r="F1182" s="2"/>
    </row>
    <row r="1183" spans="3:6" ht="18" hidden="1" x14ac:dyDescent="0.25">
      <c r="C1183" s="2"/>
      <c r="D1183" s="2"/>
      <c r="E1183" s="2"/>
      <c r="F1183" s="2"/>
    </row>
    <row r="1184" spans="3:6" ht="18" hidden="1" x14ac:dyDescent="0.25">
      <c r="C1184" s="2"/>
      <c r="D1184" s="2"/>
      <c r="E1184" s="2"/>
      <c r="F1184" s="2"/>
    </row>
    <row r="1185" spans="3:6" ht="18" hidden="1" x14ac:dyDescent="0.25">
      <c r="C1185" s="2"/>
      <c r="D1185" s="2"/>
      <c r="E1185" s="2"/>
      <c r="F1185" s="2"/>
    </row>
    <row r="1186" spans="3:6" ht="18" hidden="1" x14ac:dyDescent="0.25">
      <c r="C1186" s="2"/>
      <c r="D1186" s="2"/>
      <c r="E1186" s="2"/>
      <c r="F1186" s="2"/>
    </row>
    <row r="1187" spans="3:6" ht="18" hidden="1" x14ac:dyDescent="0.25">
      <c r="C1187" s="2"/>
      <c r="D1187" s="2"/>
      <c r="E1187" s="2"/>
      <c r="F1187" s="2"/>
    </row>
    <row r="1188" spans="3:6" ht="18" hidden="1" x14ac:dyDescent="0.25">
      <c r="C1188" s="2"/>
      <c r="D1188" s="2"/>
      <c r="E1188" s="2"/>
      <c r="F1188" s="2"/>
    </row>
    <row r="1189" spans="3:6" ht="18" hidden="1" x14ac:dyDescent="0.25">
      <c r="C1189" s="2"/>
      <c r="D1189" s="2"/>
      <c r="E1189" s="2"/>
      <c r="F1189" s="2"/>
    </row>
    <row r="1190" spans="3:6" ht="18" hidden="1" x14ac:dyDescent="0.25">
      <c r="C1190" s="2"/>
      <c r="D1190" s="2"/>
      <c r="E1190" s="2"/>
      <c r="F1190" s="2"/>
    </row>
    <row r="1191" spans="3:6" ht="18" hidden="1" x14ac:dyDescent="0.25">
      <c r="C1191" s="2"/>
      <c r="D1191" s="2"/>
      <c r="E1191" s="2"/>
      <c r="F1191" s="2"/>
    </row>
    <row r="1192" spans="3:6" ht="18" hidden="1" x14ac:dyDescent="0.25">
      <c r="C1192" s="2"/>
      <c r="D1192" s="2"/>
      <c r="E1192" s="2"/>
      <c r="F1192" s="2"/>
    </row>
    <row r="1193" spans="3:6" ht="18" hidden="1" x14ac:dyDescent="0.25">
      <c r="C1193" s="2"/>
      <c r="D1193" s="2"/>
      <c r="E1193" s="2"/>
      <c r="F1193" s="2"/>
    </row>
    <row r="1194" spans="3:6" ht="18" hidden="1" x14ac:dyDescent="0.25">
      <c r="C1194" s="2"/>
      <c r="D1194" s="2"/>
      <c r="E1194" s="2"/>
      <c r="F1194" s="2"/>
    </row>
    <row r="1195" spans="3:6" ht="18" hidden="1" x14ac:dyDescent="0.25">
      <c r="C1195" s="2"/>
      <c r="D1195" s="2"/>
      <c r="E1195" s="2"/>
      <c r="F1195" s="2"/>
    </row>
    <row r="1196" spans="3:6" ht="18" hidden="1" x14ac:dyDescent="0.25">
      <c r="C1196" s="2"/>
      <c r="D1196" s="2"/>
      <c r="E1196" s="2"/>
      <c r="F1196" s="2"/>
    </row>
    <row r="1197" spans="3:6" ht="18" hidden="1" x14ac:dyDescent="0.25">
      <c r="C1197" s="2"/>
      <c r="D1197" s="2"/>
      <c r="E1197" s="2"/>
      <c r="F1197" s="2"/>
    </row>
    <row r="1198" spans="3:6" ht="18" hidden="1" x14ac:dyDescent="0.25">
      <c r="C1198" s="2"/>
      <c r="D1198" s="2"/>
      <c r="E1198" s="2"/>
      <c r="F1198" s="2"/>
    </row>
    <row r="1199" spans="3:6" ht="18" hidden="1" x14ac:dyDescent="0.25">
      <c r="C1199" s="2"/>
      <c r="D1199" s="2"/>
      <c r="E1199" s="2"/>
      <c r="F1199" s="2"/>
    </row>
    <row r="1200" spans="3:6" ht="18" hidden="1" x14ac:dyDescent="0.25">
      <c r="C1200" s="2"/>
      <c r="D1200" s="2"/>
      <c r="E1200" s="2"/>
      <c r="F1200" s="2"/>
    </row>
    <row r="1201" spans="3:6" ht="18" hidden="1" x14ac:dyDescent="0.25">
      <c r="C1201" s="2"/>
      <c r="D1201" s="2"/>
      <c r="E1201" s="2"/>
      <c r="F1201" s="2"/>
    </row>
    <row r="1202" spans="3:6" ht="18" hidden="1" x14ac:dyDescent="0.25">
      <c r="C1202" s="2"/>
      <c r="D1202" s="2"/>
      <c r="E1202" s="2"/>
      <c r="F1202" s="2"/>
    </row>
    <row r="1203" spans="3:6" ht="18" hidden="1" x14ac:dyDescent="0.25">
      <c r="C1203" s="2"/>
      <c r="D1203" s="2"/>
      <c r="E1203" s="2"/>
      <c r="F1203" s="2"/>
    </row>
    <row r="1204" spans="3:6" ht="18" hidden="1" x14ac:dyDescent="0.25">
      <c r="C1204" s="2"/>
      <c r="D1204" s="2"/>
      <c r="E1204" s="2"/>
      <c r="F1204" s="2"/>
    </row>
    <row r="1205" spans="3:6" ht="18" hidden="1" x14ac:dyDescent="0.25">
      <c r="C1205" s="2"/>
      <c r="D1205" s="2"/>
      <c r="E1205" s="2"/>
      <c r="F1205" s="2"/>
    </row>
    <row r="1206" spans="3:6" ht="18" hidden="1" x14ac:dyDescent="0.25">
      <c r="C1206" s="2"/>
      <c r="D1206" s="2"/>
      <c r="E1206" s="2"/>
      <c r="F1206" s="2"/>
    </row>
    <row r="1207" spans="3:6" ht="18" hidden="1" x14ac:dyDescent="0.25">
      <c r="C1207" s="2"/>
      <c r="D1207" s="2"/>
      <c r="E1207" s="2"/>
      <c r="F1207" s="2"/>
    </row>
    <row r="1208" spans="3:6" ht="18" hidden="1" x14ac:dyDescent="0.25">
      <c r="C1208" s="2"/>
      <c r="D1208" s="2"/>
      <c r="E1208" s="2"/>
      <c r="F1208" s="2"/>
    </row>
    <row r="1209" spans="3:6" ht="18" hidden="1" x14ac:dyDescent="0.25">
      <c r="C1209" s="2"/>
      <c r="D1209" s="2"/>
      <c r="E1209" s="2"/>
      <c r="F1209" s="2"/>
    </row>
    <row r="1210" spans="3:6" ht="18" hidden="1" x14ac:dyDescent="0.25">
      <c r="C1210" s="2"/>
      <c r="D1210" s="2"/>
      <c r="E1210" s="2"/>
      <c r="F1210" s="2"/>
    </row>
    <row r="1211" spans="3:6" ht="18" hidden="1" x14ac:dyDescent="0.25">
      <c r="C1211" s="2"/>
      <c r="D1211" s="2"/>
      <c r="E1211" s="2"/>
      <c r="F1211" s="2"/>
    </row>
    <row r="1212" spans="3:6" ht="18" hidden="1" x14ac:dyDescent="0.25">
      <c r="C1212" s="2"/>
      <c r="D1212" s="2"/>
      <c r="E1212" s="2"/>
      <c r="F1212" s="2"/>
    </row>
    <row r="1213" spans="3:6" ht="18" hidden="1" x14ac:dyDescent="0.25">
      <c r="C1213" s="2"/>
      <c r="D1213" s="2"/>
      <c r="E1213" s="2"/>
      <c r="F1213" s="2"/>
    </row>
    <row r="1214" spans="3:6" ht="18" hidden="1" x14ac:dyDescent="0.25">
      <c r="C1214" s="2"/>
      <c r="D1214" s="2"/>
      <c r="E1214" s="2"/>
      <c r="F1214" s="2"/>
    </row>
    <row r="1215" spans="3:6" ht="18" hidden="1" x14ac:dyDescent="0.25">
      <c r="C1215" s="2"/>
      <c r="D1215" s="2"/>
      <c r="E1215" s="2"/>
      <c r="F1215" s="2"/>
    </row>
    <row r="1216" spans="3:6" ht="18" hidden="1" x14ac:dyDescent="0.25">
      <c r="C1216" s="2"/>
      <c r="D1216" s="2"/>
      <c r="E1216" s="2"/>
      <c r="F1216" s="2"/>
    </row>
    <row r="1217" spans="3:6" ht="18" hidden="1" x14ac:dyDescent="0.25">
      <c r="C1217" s="2"/>
      <c r="D1217" s="2"/>
      <c r="E1217" s="2"/>
      <c r="F1217" s="2"/>
    </row>
    <row r="1218" spans="3:6" ht="18" hidden="1" x14ac:dyDescent="0.25">
      <c r="C1218" s="2"/>
      <c r="D1218" s="2"/>
      <c r="E1218" s="2"/>
      <c r="F1218" s="2"/>
    </row>
    <row r="1219" spans="3:6" ht="18" hidden="1" x14ac:dyDescent="0.25">
      <c r="C1219" s="2"/>
      <c r="D1219" s="2"/>
      <c r="E1219" s="2"/>
      <c r="F1219" s="2"/>
    </row>
    <row r="1220" spans="3:6" ht="18" hidden="1" x14ac:dyDescent="0.25">
      <c r="C1220" s="2"/>
      <c r="D1220" s="2"/>
      <c r="E1220" s="2"/>
      <c r="F1220" s="2"/>
    </row>
    <row r="1221" spans="3:6" ht="18" hidden="1" x14ac:dyDescent="0.25">
      <c r="C1221" s="2"/>
      <c r="D1221" s="2"/>
      <c r="E1221" s="2"/>
      <c r="F1221" s="2"/>
    </row>
    <row r="1222" spans="3:6" ht="18" hidden="1" x14ac:dyDescent="0.25">
      <c r="C1222" s="2"/>
      <c r="D1222" s="2"/>
      <c r="E1222" s="2"/>
      <c r="F1222" s="2"/>
    </row>
    <row r="1223" spans="3:6" ht="18" hidden="1" x14ac:dyDescent="0.25">
      <c r="C1223" s="2"/>
      <c r="D1223" s="2"/>
      <c r="E1223" s="2"/>
      <c r="F1223" s="2"/>
    </row>
    <row r="1224" spans="3:6" ht="18" hidden="1" x14ac:dyDescent="0.25">
      <c r="C1224" s="2"/>
      <c r="D1224" s="2"/>
      <c r="E1224" s="2"/>
      <c r="F1224" s="2"/>
    </row>
    <row r="1225" spans="3:6" ht="18" hidden="1" x14ac:dyDescent="0.25">
      <c r="C1225" s="2"/>
      <c r="D1225" s="2"/>
      <c r="E1225" s="2"/>
      <c r="F1225" s="2"/>
    </row>
    <row r="1226" spans="3:6" ht="18" hidden="1" x14ac:dyDescent="0.25">
      <c r="C1226" s="2"/>
      <c r="D1226" s="2"/>
      <c r="E1226" s="2"/>
      <c r="F1226" s="2"/>
    </row>
    <row r="1227" spans="3:6" ht="18" hidden="1" x14ac:dyDescent="0.25">
      <c r="C1227" s="2"/>
      <c r="D1227" s="2"/>
      <c r="E1227" s="2"/>
      <c r="F1227" s="2"/>
    </row>
    <row r="1228" spans="3:6" ht="18" hidden="1" x14ac:dyDescent="0.25">
      <c r="C1228" s="2"/>
      <c r="D1228" s="2"/>
      <c r="E1228" s="2"/>
      <c r="F1228" s="2"/>
    </row>
    <row r="1229" spans="3:6" ht="18" hidden="1" x14ac:dyDescent="0.25">
      <c r="C1229" s="2"/>
      <c r="D1229" s="2"/>
      <c r="E1229" s="2"/>
      <c r="F1229" s="2"/>
    </row>
    <row r="1230" spans="3:6" ht="18" hidden="1" x14ac:dyDescent="0.25">
      <c r="C1230" s="2"/>
      <c r="D1230" s="2"/>
      <c r="E1230" s="2"/>
      <c r="F1230" s="2"/>
    </row>
    <row r="1231" spans="3:6" ht="18" hidden="1" x14ac:dyDescent="0.25">
      <c r="C1231" s="2"/>
      <c r="D1231" s="2"/>
      <c r="E1231" s="2"/>
      <c r="F1231" s="2"/>
    </row>
    <row r="1232" spans="3:6" ht="18" hidden="1" x14ac:dyDescent="0.25">
      <c r="C1232" s="2"/>
      <c r="D1232" s="2"/>
      <c r="E1232" s="2"/>
      <c r="F1232" s="2"/>
    </row>
    <row r="1233" spans="3:6" ht="18" hidden="1" x14ac:dyDescent="0.25">
      <c r="C1233" s="2"/>
      <c r="D1233" s="2"/>
      <c r="E1233" s="2"/>
      <c r="F1233" s="2"/>
    </row>
    <row r="1234" spans="3:6" ht="18" hidden="1" x14ac:dyDescent="0.25">
      <c r="C1234" s="2"/>
      <c r="D1234" s="2"/>
      <c r="E1234" s="2"/>
      <c r="F1234" s="2"/>
    </row>
    <row r="1235" spans="3:6" ht="18" hidden="1" x14ac:dyDescent="0.25">
      <c r="C1235" s="2"/>
      <c r="D1235" s="2"/>
      <c r="E1235" s="2"/>
      <c r="F1235" s="2"/>
    </row>
    <row r="1236" spans="3:6" ht="18" hidden="1" x14ac:dyDescent="0.25">
      <c r="C1236" s="2"/>
      <c r="D1236" s="2"/>
      <c r="E1236" s="2"/>
      <c r="F1236" s="2"/>
    </row>
    <row r="1237" spans="3:6" ht="18" hidden="1" x14ac:dyDescent="0.25">
      <c r="C1237" s="2"/>
      <c r="D1237" s="2"/>
      <c r="E1237" s="2"/>
      <c r="F1237" s="2"/>
    </row>
    <row r="1238" spans="3:6" ht="18" hidden="1" x14ac:dyDescent="0.25">
      <c r="C1238" s="2"/>
      <c r="D1238" s="2"/>
      <c r="E1238" s="2"/>
      <c r="F1238" s="2"/>
    </row>
    <row r="1239" spans="3:6" ht="18" hidden="1" x14ac:dyDescent="0.25">
      <c r="C1239" s="2"/>
      <c r="D1239" s="2"/>
      <c r="E1239" s="2"/>
      <c r="F1239" s="2"/>
    </row>
    <row r="1240" spans="3:6" ht="18" hidden="1" x14ac:dyDescent="0.25">
      <c r="C1240" s="2"/>
      <c r="D1240" s="2"/>
      <c r="E1240" s="2"/>
      <c r="F1240" s="2"/>
    </row>
    <row r="1241" spans="3:6" ht="18" hidden="1" x14ac:dyDescent="0.25">
      <c r="C1241" s="2"/>
      <c r="D1241" s="2"/>
      <c r="E1241" s="2"/>
      <c r="F1241" s="2"/>
    </row>
    <row r="1242" spans="3:6" ht="18" hidden="1" x14ac:dyDescent="0.25">
      <c r="C1242" s="2"/>
      <c r="D1242" s="2"/>
      <c r="E1242" s="2"/>
      <c r="F1242" s="2"/>
    </row>
    <row r="1243" spans="3:6" ht="18" hidden="1" x14ac:dyDescent="0.25">
      <c r="C1243" s="2"/>
      <c r="D1243" s="2"/>
      <c r="E1243" s="2"/>
      <c r="F1243" s="2"/>
    </row>
    <row r="1244" spans="3:6" ht="18" hidden="1" x14ac:dyDescent="0.25">
      <c r="C1244" s="2"/>
      <c r="D1244" s="2"/>
      <c r="E1244" s="2"/>
      <c r="F1244" s="2"/>
    </row>
    <row r="1245" spans="3:6" ht="18" hidden="1" x14ac:dyDescent="0.25">
      <c r="C1245" s="2"/>
      <c r="D1245" s="2"/>
      <c r="E1245" s="2"/>
      <c r="F1245" s="2"/>
    </row>
    <row r="1246" spans="3:6" ht="18" hidden="1" x14ac:dyDescent="0.25">
      <c r="C1246" s="2"/>
      <c r="D1246" s="2"/>
      <c r="E1246" s="2"/>
      <c r="F1246" s="2"/>
    </row>
    <row r="1247" spans="3:6" ht="18" hidden="1" x14ac:dyDescent="0.25">
      <c r="C1247" s="2"/>
      <c r="D1247" s="2"/>
      <c r="E1247" s="2"/>
      <c r="F1247" s="2"/>
    </row>
    <row r="1248" spans="3:6" ht="18" hidden="1" x14ac:dyDescent="0.25">
      <c r="C1248" s="2"/>
      <c r="D1248" s="2"/>
      <c r="E1248" s="2"/>
      <c r="F1248" s="2"/>
    </row>
    <row r="1249" spans="3:6" ht="18" hidden="1" x14ac:dyDescent="0.25">
      <c r="C1249" s="2"/>
      <c r="D1249" s="2"/>
      <c r="E1249" s="2"/>
      <c r="F1249" s="2"/>
    </row>
    <row r="1250" spans="3:6" ht="18" hidden="1" x14ac:dyDescent="0.25">
      <c r="C1250" s="2"/>
      <c r="D1250" s="2"/>
      <c r="E1250" s="2"/>
      <c r="F1250" s="2"/>
    </row>
    <row r="1251" spans="3:6" ht="18" hidden="1" x14ac:dyDescent="0.25">
      <c r="C1251" s="2"/>
      <c r="D1251" s="2"/>
      <c r="E1251" s="2"/>
      <c r="F1251" s="2"/>
    </row>
    <row r="1252" spans="3:6" ht="18" hidden="1" x14ac:dyDescent="0.25">
      <c r="C1252" s="2"/>
      <c r="D1252" s="2"/>
      <c r="E1252" s="2"/>
      <c r="F1252" s="2"/>
    </row>
    <row r="1253" spans="3:6" ht="18" hidden="1" x14ac:dyDescent="0.25">
      <c r="C1253" s="2"/>
      <c r="D1253" s="2"/>
      <c r="E1253" s="2"/>
      <c r="F1253" s="2"/>
    </row>
    <row r="1254" spans="3:6" ht="18" hidden="1" x14ac:dyDescent="0.25">
      <c r="C1254" s="2"/>
      <c r="D1254" s="2"/>
      <c r="E1254" s="2"/>
      <c r="F1254" s="2"/>
    </row>
    <row r="1255" spans="3:6" ht="18" hidden="1" x14ac:dyDescent="0.25">
      <c r="C1255" s="2"/>
      <c r="D1255" s="2"/>
      <c r="E1255" s="2"/>
      <c r="F1255" s="2"/>
    </row>
    <row r="1256" spans="3:6" ht="18" hidden="1" x14ac:dyDescent="0.25">
      <c r="C1256" s="2"/>
      <c r="D1256" s="2"/>
      <c r="E1256" s="2"/>
      <c r="F1256" s="2"/>
    </row>
    <row r="1257" spans="3:6" ht="18" hidden="1" x14ac:dyDescent="0.25">
      <c r="C1257" s="2"/>
      <c r="D1257" s="2"/>
      <c r="E1257" s="2"/>
      <c r="F1257" s="2"/>
    </row>
    <row r="1258" spans="3:6" ht="18" hidden="1" x14ac:dyDescent="0.25">
      <c r="C1258" s="2"/>
      <c r="D1258" s="2"/>
      <c r="E1258" s="2"/>
      <c r="F1258" s="2"/>
    </row>
    <row r="1259" spans="3:6" ht="18" hidden="1" x14ac:dyDescent="0.25">
      <c r="C1259" s="2"/>
      <c r="D1259" s="2"/>
      <c r="E1259" s="2"/>
      <c r="F1259" s="2"/>
    </row>
    <row r="1260" spans="3:6" ht="18" hidden="1" x14ac:dyDescent="0.25">
      <c r="C1260" s="2"/>
      <c r="D1260" s="2"/>
      <c r="E1260" s="2"/>
      <c r="F1260" s="2"/>
    </row>
    <row r="1261" spans="3:6" ht="18" hidden="1" x14ac:dyDescent="0.25">
      <c r="C1261" s="2"/>
      <c r="D1261" s="2"/>
      <c r="E1261" s="2"/>
      <c r="F1261" s="2"/>
    </row>
    <row r="1262" spans="3:6" ht="18" hidden="1" x14ac:dyDescent="0.25">
      <c r="C1262" s="2"/>
      <c r="D1262" s="2"/>
      <c r="E1262" s="2"/>
      <c r="F1262" s="2"/>
    </row>
    <row r="1263" spans="3:6" ht="18" hidden="1" x14ac:dyDescent="0.25">
      <c r="C1263" s="2"/>
      <c r="D1263" s="2"/>
      <c r="E1263" s="2"/>
      <c r="F1263" s="2"/>
    </row>
    <row r="1264" spans="3:6" ht="18" hidden="1" x14ac:dyDescent="0.25">
      <c r="C1264" s="2"/>
      <c r="D1264" s="2"/>
      <c r="E1264" s="2"/>
      <c r="F1264" s="2"/>
    </row>
    <row r="1265" spans="3:6" ht="18" hidden="1" x14ac:dyDescent="0.25">
      <c r="C1265" s="2"/>
      <c r="D1265" s="2"/>
      <c r="E1265" s="2"/>
      <c r="F1265" s="2"/>
    </row>
    <row r="1266" spans="3:6" ht="18" hidden="1" x14ac:dyDescent="0.25">
      <c r="C1266" s="2"/>
      <c r="D1266" s="2"/>
      <c r="E1266" s="2"/>
      <c r="F1266" s="2"/>
    </row>
    <row r="1267" spans="3:6" ht="18" hidden="1" x14ac:dyDescent="0.25">
      <c r="C1267" s="2"/>
      <c r="D1267" s="2"/>
      <c r="E1267" s="2"/>
      <c r="F1267" s="2"/>
    </row>
    <row r="1268" spans="3:6" ht="18" hidden="1" x14ac:dyDescent="0.25">
      <c r="C1268" s="2"/>
      <c r="D1268" s="2"/>
      <c r="E1268" s="2"/>
      <c r="F1268" s="2"/>
    </row>
    <row r="1269" spans="3:6" ht="18" hidden="1" x14ac:dyDescent="0.25">
      <c r="C1269" s="2"/>
      <c r="D1269" s="2"/>
      <c r="E1269" s="2"/>
      <c r="F1269" s="2"/>
    </row>
    <row r="1270" spans="3:6" ht="18" hidden="1" x14ac:dyDescent="0.25">
      <c r="C1270" s="2"/>
      <c r="D1270" s="2"/>
      <c r="E1270" s="2"/>
      <c r="F1270" s="2"/>
    </row>
    <row r="1271" spans="3:6" ht="18" hidden="1" x14ac:dyDescent="0.25">
      <c r="C1271" s="2"/>
      <c r="D1271" s="2"/>
      <c r="E1271" s="2"/>
      <c r="F1271" s="2"/>
    </row>
    <row r="1272" spans="3:6" ht="18" hidden="1" x14ac:dyDescent="0.25">
      <c r="C1272" s="2"/>
      <c r="D1272" s="2"/>
      <c r="E1272" s="2"/>
      <c r="F1272" s="2"/>
    </row>
    <row r="1273" spans="3:6" ht="18" hidden="1" x14ac:dyDescent="0.25">
      <c r="C1273" s="2"/>
      <c r="D1273" s="2"/>
      <c r="E1273" s="2"/>
      <c r="F1273" s="2"/>
    </row>
    <row r="1274" spans="3:6" ht="18" hidden="1" x14ac:dyDescent="0.25">
      <c r="C1274" s="2"/>
      <c r="D1274" s="2"/>
      <c r="E1274" s="2"/>
      <c r="F1274" s="2"/>
    </row>
    <row r="1275" spans="3:6" ht="18" hidden="1" x14ac:dyDescent="0.25">
      <c r="C1275" s="2"/>
      <c r="D1275" s="2"/>
      <c r="E1275" s="2"/>
      <c r="F1275" s="2"/>
    </row>
    <row r="1276" spans="3:6" ht="18" hidden="1" x14ac:dyDescent="0.25">
      <c r="C1276" s="2"/>
      <c r="D1276" s="2"/>
      <c r="E1276" s="2"/>
      <c r="F1276" s="2"/>
    </row>
    <row r="1277" spans="3:6" ht="18" hidden="1" x14ac:dyDescent="0.25">
      <c r="C1277" s="2"/>
      <c r="D1277" s="2"/>
      <c r="E1277" s="2"/>
      <c r="F1277" s="2"/>
    </row>
    <row r="1278" spans="3:6" ht="18" hidden="1" x14ac:dyDescent="0.25">
      <c r="C1278" s="2"/>
      <c r="D1278" s="2"/>
      <c r="E1278" s="2"/>
      <c r="F1278" s="2"/>
    </row>
    <row r="1279" spans="3:6" ht="18" hidden="1" x14ac:dyDescent="0.25">
      <c r="C1279" s="2"/>
      <c r="D1279" s="2"/>
      <c r="E1279" s="2"/>
      <c r="F1279" s="2"/>
    </row>
    <row r="1280" spans="3:6" ht="18" hidden="1" x14ac:dyDescent="0.25">
      <c r="C1280" s="2"/>
      <c r="D1280" s="2"/>
      <c r="E1280" s="2"/>
      <c r="F1280" s="2"/>
    </row>
    <row r="1281" spans="3:6" ht="18" hidden="1" x14ac:dyDescent="0.25">
      <c r="C1281" s="2"/>
      <c r="D1281" s="2"/>
      <c r="E1281" s="2"/>
      <c r="F1281" s="2"/>
    </row>
    <row r="1282" spans="3:6" ht="18" hidden="1" x14ac:dyDescent="0.25">
      <c r="C1282" s="2"/>
      <c r="D1282" s="2"/>
      <c r="E1282" s="2"/>
      <c r="F1282" s="2"/>
    </row>
    <row r="1283" spans="3:6" ht="18" hidden="1" x14ac:dyDescent="0.25">
      <c r="C1283" s="2"/>
      <c r="D1283" s="2"/>
      <c r="E1283" s="2"/>
      <c r="F1283" s="2"/>
    </row>
    <row r="1284" spans="3:6" ht="18" hidden="1" x14ac:dyDescent="0.25">
      <c r="C1284" s="2"/>
      <c r="D1284" s="2"/>
      <c r="E1284" s="2"/>
      <c r="F1284" s="2"/>
    </row>
    <row r="1285" spans="3:6" ht="18" hidden="1" x14ac:dyDescent="0.25">
      <c r="C1285" s="2"/>
      <c r="D1285" s="2"/>
      <c r="E1285" s="2"/>
      <c r="F1285" s="2"/>
    </row>
    <row r="1286" spans="3:6" ht="18" hidden="1" x14ac:dyDescent="0.25">
      <c r="C1286" s="2"/>
      <c r="D1286" s="2"/>
      <c r="E1286" s="2"/>
      <c r="F1286" s="2"/>
    </row>
    <row r="1287" spans="3:6" ht="18" hidden="1" x14ac:dyDescent="0.25">
      <c r="C1287" s="2"/>
      <c r="D1287" s="2"/>
      <c r="E1287" s="2"/>
      <c r="F1287" s="2"/>
    </row>
    <row r="1288" spans="3:6" ht="18" hidden="1" x14ac:dyDescent="0.25">
      <c r="C1288" s="2"/>
      <c r="D1288" s="2"/>
      <c r="E1288" s="2"/>
      <c r="F1288" s="2"/>
    </row>
    <row r="1289" spans="3:6" ht="18" hidden="1" x14ac:dyDescent="0.25">
      <c r="C1289" s="2"/>
      <c r="D1289" s="2"/>
      <c r="E1289" s="2"/>
      <c r="F1289" s="2"/>
    </row>
    <row r="1290" spans="3:6" ht="18" hidden="1" x14ac:dyDescent="0.25">
      <c r="C1290" s="2"/>
      <c r="D1290" s="2"/>
      <c r="E1290" s="2"/>
      <c r="F1290" s="2"/>
    </row>
    <row r="1291" spans="3:6" ht="18" hidden="1" x14ac:dyDescent="0.25">
      <c r="C1291" s="2"/>
      <c r="D1291" s="2"/>
      <c r="E1291" s="2"/>
      <c r="F1291" s="2"/>
    </row>
    <row r="1292" spans="3:6" ht="18" hidden="1" x14ac:dyDescent="0.25">
      <c r="C1292" s="2"/>
      <c r="D1292" s="2"/>
      <c r="E1292" s="2"/>
      <c r="F1292" s="2"/>
    </row>
    <row r="1293" spans="3:6" ht="18" hidden="1" x14ac:dyDescent="0.25">
      <c r="C1293" s="2"/>
      <c r="D1293" s="2"/>
      <c r="E1293" s="2"/>
      <c r="F1293" s="2"/>
    </row>
    <row r="1294" spans="3:6" ht="18" hidden="1" x14ac:dyDescent="0.25">
      <c r="C1294" s="2"/>
      <c r="D1294" s="2"/>
      <c r="E1294" s="2"/>
      <c r="F1294" s="2"/>
    </row>
    <row r="1295" spans="3:6" ht="18" hidden="1" x14ac:dyDescent="0.25">
      <c r="C1295" s="2"/>
      <c r="D1295" s="2"/>
      <c r="E1295" s="2"/>
      <c r="F1295" s="2"/>
    </row>
    <row r="1296" spans="3:6" ht="18" hidden="1" x14ac:dyDescent="0.25">
      <c r="C1296" s="2"/>
      <c r="D1296" s="2"/>
      <c r="E1296" s="2"/>
      <c r="F1296" s="2"/>
    </row>
    <row r="1297" spans="3:6" ht="18" hidden="1" x14ac:dyDescent="0.25">
      <c r="C1297" s="2"/>
      <c r="D1297" s="2"/>
      <c r="E1297" s="2"/>
      <c r="F1297" s="2"/>
    </row>
    <row r="1298" spans="3:6" ht="18" hidden="1" x14ac:dyDescent="0.25">
      <c r="C1298" s="2"/>
      <c r="D1298" s="2"/>
      <c r="E1298" s="2"/>
      <c r="F1298" s="2"/>
    </row>
    <row r="1299" spans="3:6" ht="18" hidden="1" x14ac:dyDescent="0.25">
      <c r="C1299" s="2"/>
      <c r="D1299" s="2"/>
      <c r="E1299" s="2"/>
      <c r="F1299" s="2"/>
    </row>
    <row r="1300" spans="3:6" ht="18" hidden="1" x14ac:dyDescent="0.25">
      <c r="C1300" s="2"/>
      <c r="D1300" s="2"/>
      <c r="E1300" s="2"/>
      <c r="F1300" s="2"/>
    </row>
    <row r="1301" spans="3:6" ht="18" hidden="1" x14ac:dyDescent="0.25">
      <c r="C1301" s="2"/>
      <c r="D1301" s="2"/>
      <c r="E1301" s="2"/>
      <c r="F1301" s="2"/>
    </row>
    <row r="1302" spans="3:6" ht="18" hidden="1" x14ac:dyDescent="0.25">
      <c r="C1302" s="2"/>
      <c r="D1302" s="2"/>
      <c r="E1302" s="2"/>
      <c r="F1302" s="2"/>
    </row>
    <row r="1303" spans="3:6" ht="18" hidden="1" x14ac:dyDescent="0.25">
      <c r="C1303" s="2"/>
      <c r="D1303" s="2"/>
      <c r="E1303" s="2"/>
      <c r="F1303" s="2"/>
    </row>
    <row r="1304" spans="3:6" ht="18" hidden="1" x14ac:dyDescent="0.25">
      <c r="C1304" s="2"/>
      <c r="D1304" s="2"/>
      <c r="E1304" s="2"/>
      <c r="F1304" s="2"/>
    </row>
    <row r="1305" spans="3:6" ht="18" hidden="1" x14ac:dyDescent="0.25">
      <c r="C1305" s="2"/>
      <c r="D1305" s="2"/>
      <c r="E1305" s="2"/>
      <c r="F1305" s="2"/>
    </row>
    <row r="1306" spans="3:6" ht="18" hidden="1" x14ac:dyDescent="0.25">
      <c r="C1306" s="2"/>
      <c r="D1306" s="2"/>
      <c r="E1306" s="2"/>
      <c r="F1306" s="2"/>
    </row>
    <row r="1307" spans="3:6" ht="18" hidden="1" x14ac:dyDescent="0.25">
      <c r="C1307" s="2"/>
      <c r="D1307" s="2"/>
      <c r="E1307" s="2"/>
      <c r="F1307" s="2"/>
    </row>
    <row r="1308" spans="3:6" ht="18" hidden="1" x14ac:dyDescent="0.25">
      <c r="C1308" s="2"/>
      <c r="D1308" s="2"/>
      <c r="E1308" s="2"/>
      <c r="F1308" s="2"/>
    </row>
    <row r="1309" spans="3:6" ht="18" hidden="1" x14ac:dyDescent="0.25">
      <c r="C1309" s="2"/>
      <c r="D1309" s="2"/>
      <c r="E1309" s="2"/>
      <c r="F1309" s="2"/>
    </row>
    <row r="1310" spans="3:6" ht="18" hidden="1" x14ac:dyDescent="0.25">
      <c r="C1310" s="2"/>
      <c r="D1310" s="2"/>
      <c r="E1310" s="2"/>
      <c r="F1310" s="2"/>
    </row>
    <row r="1311" spans="3:6" ht="18" hidden="1" x14ac:dyDescent="0.25">
      <c r="C1311" s="2"/>
      <c r="D1311" s="2"/>
      <c r="E1311" s="2"/>
      <c r="F1311" s="2"/>
    </row>
    <row r="1312" spans="3:6" ht="18" hidden="1" x14ac:dyDescent="0.25">
      <c r="C1312" s="2"/>
      <c r="D1312" s="2"/>
      <c r="E1312" s="2"/>
      <c r="F1312" s="2"/>
    </row>
    <row r="1313" spans="3:6" ht="18" hidden="1" x14ac:dyDescent="0.25">
      <c r="C1313" s="2"/>
      <c r="D1313" s="2"/>
      <c r="E1313" s="2"/>
      <c r="F1313" s="2"/>
    </row>
    <row r="1314" spans="3:6" ht="18" hidden="1" x14ac:dyDescent="0.25">
      <c r="C1314" s="2"/>
      <c r="D1314" s="2"/>
      <c r="E1314" s="2"/>
      <c r="F1314" s="2"/>
    </row>
    <row r="1315" spans="3:6" ht="18" hidden="1" x14ac:dyDescent="0.25">
      <c r="C1315" s="2"/>
      <c r="D1315" s="2"/>
      <c r="E1315" s="2"/>
      <c r="F1315" s="2"/>
    </row>
    <row r="1316" spans="3:6" ht="18" hidden="1" x14ac:dyDescent="0.25">
      <c r="C1316" s="2"/>
      <c r="D1316" s="2"/>
      <c r="E1316" s="2"/>
      <c r="F1316" s="2"/>
    </row>
    <row r="1317" spans="3:6" ht="18" hidden="1" x14ac:dyDescent="0.25">
      <c r="C1317" s="2"/>
      <c r="D1317" s="2"/>
      <c r="E1317" s="2"/>
      <c r="F1317" s="2"/>
    </row>
    <row r="1318" spans="3:6" ht="18" hidden="1" x14ac:dyDescent="0.25">
      <c r="C1318" s="2"/>
      <c r="D1318" s="2"/>
      <c r="E1318" s="2"/>
      <c r="F1318" s="2"/>
    </row>
    <row r="1319" spans="3:6" ht="18" hidden="1" x14ac:dyDescent="0.25">
      <c r="C1319" s="2"/>
      <c r="D1319" s="2"/>
      <c r="E1319" s="2"/>
      <c r="F1319" s="2"/>
    </row>
    <row r="1320" spans="3:6" ht="18" hidden="1" x14ac:dyDescent="0.25">
      <c r="C1320" s="2"/>
      <c r="D1320" s="2"/>
      <c r="E1320" s="2"/>
      <c r="F1320" s="2"/>
    </row>
    <row r="1321" spans="3:6" ht="18" hidden="1" x14ac:dyDescent="0.25">
      <c r="C1321" s="2"/>
      <c r="D1321" s="2"/>
      <c r="E1321" s="2"/>
      <c r="F1321" s="2"/>
    </row>
    <row r="1322" spans="3:6" ht="18" hidden="1" x14ac:dyDescent="0.25">
      <c r="C1322" s="2"/>
      <c r="D1322" s="2"/>
      <c r="E1322" s="2"/>
      <c r="F1322" s="2"/>
    </row>
    <row r="1323" spans="3:6" ht="18" hidden="1" x14ac:dyDescent="0.25">
      <c r="C1323" s="2"/>
      <c r="D1323" s="2"/>
      <c r="E1323" s="2"/>
      <c r="F1323" s="2"/>
    </row>
    <row r="1324" spans="3:6" ht="18" hidden="1" x14ac:dyDescent="0.25">
      <c r="C1324" s="2"/>
      <c r="D1324" s="2"/>
      <c r="E1324" s="2"/>
      <c r="F1324" s="2"/>
    </row>
    <row r="1325" spans="3:6" ht="18" hidden="1" x14ac:dyDescent="0.25">
      <c r="C1325" s="2"/>
      <c r="D1325" s="2"/>
      <c r="E1325" s="2"/>
      <c r="F1325" s="2"/>
    </row>
    <row r="1326" spans="3:6" ht="18" hidden="1" x14ac:dyDescent="0.25">
      <c r="C1326" s="2"/>
      <c r="D1326" s="2"/>
      <c r="E1326" s="2"/>
      <c r="F1326" s="2"/>
    </row>
    <row r="1327" spans="3:6" ht="18" hidden="1" x14ac:dyDescent="0.25">
      <c r="C1327" s="2"/>
      <c r="D1327" s="2"/>
      <c r="E1327" s="2"/>
      <c r="F1327" s="2"/>
    </row>
    <row r="1328" spans="3:6" ht="18" hidden="1" x14ac:dyDescent="0.25">
      <c r="C1328" s="2"/>
      <c r="D1328" s="2"/>
      <c r="E1328" s="2"/>
      <c r="F1328" s="2"/>
    </row>
    <row r="1329" spans="3:6" ht="18" hidden="1" x14ac:dyDescent="0.25">
      <c r="C1329" s="2"/>
      <c r="D1329" s="2"/>
      <c r="E1329" s="2"/>
      <c r="F1329" s="2"/>
    </row>
    <row r="1330" spans="3:6" ht="18" hidden="1" x14ac:dyDescent="0.25">
      <c r="C1330" s="2"/>
      <c r="D1330" s="2"/>
      <c r="E1330" s="2"/>
      <c r="F1330" s="2"/>
    </row>
    <row r="1331" spans="3:6" ht="18" hidden="1" x14ac:dyDescent="0.25">
      <c r="C1331" s="2"/>
      <c r="D1331" s="2"/>
      <c r="E1331" s="2"/>
      <c r="F1331" s="2"/>
    </row>
    <row r="1332" spans="3:6" ht="18" hidden="1" x14ac:dyDescent="0.25">
      <c r="C1332" s="2"/>
      <c r="D1332" s="2"/>
      <c r="E1332" s="2"/>
      <c r="F1332" s="2"/>
    </row>
    <row r="1333" spans="3:6" ht="18" hidden="1" x14ac:dyDescent="0.25">
      <c r="C1333" s="2"/>
      <c r="D1333" s="2"/>
      <c r="E1333" s="2"/>
      <c r="F1333" s="2"/>
    </row>
    <row r="1334" spans="3:6" ht="18" hidden="1" x14ac:dyDescent="0.25">
      <c r="C1334" s="2"/>
      <c r="D1334" s="2"/>
      <c r="E1334" s="2"/>
      <c r="F1334" s="2"/>
    </row>
    <row r="1335" spans="3:6" ht="18" hidden="1" x14ac:dyDescent="0.25">
      <c r="C1335" s="2"/>
      <c r="D1335" s="2"/>
      <c r="E1335" s="2"/>
      <c r="F1335" s="2"/>
    </row>
    <row r="1336" spans="3:6" ht="18" hidden="1" x14ac:dyDescent="0.25">
      <c r="C1336" s="2"/>
      <c r="D1336" s="2"/>
      <c r="E1336" s="2"/>
      <c r="F1336" s="2"/>
    </row>
    <row r="1337" spans="3:6" ht="18" hidden="1" x14ac:dyDescent="0.25">
      <c r="C1337" s="2"/>
      <c r="D1337" s="2"/>
      <c r="E1337" s="2"/>
      <c r="F1337" s="2"/>
    </row>
    <row r="1338" spans="3:6" ht="18" hidden="1" x14ac:dyDescent="0.25">
      <c r="C1338" s="2"/>
      <c r="D1338" s="2"/>
      <c r="E1338" s="2"/>
      <c r="F1338" s="2"/>
    </row>
    <row r="1339" spans="3:6" ht="18" hidden="1" x14ac:dyDescent="0.25">
      <c r="C1339" s="2"/>
      <c r="D1339" s="2"/>
      <c r="E1339" s="2"/>
      <c r="F1339" s="2"/>
    </row>
    <row r="1340" spans="3:6" ht="18" hidden="1" x14ac:dyDescent="0.25">
      <c r="C1340" s="2"/>
      <c r="D1340" s="2"/>
      <c r="E1340" s="2"/>
      <c r="F1340" s="2"/>
    </row>
    <row r="1341" spans="3:6" ht="18" hidden="1" x14ac:dyDescent="0.25">
      <c r="C1341" s="2"/>
      <c r="D1341" s="2"/>
      <c r="E1341" s="2"/>
      <c r="F1341" s="2"/>
    </row>
    <row r="1342" spans="3:6" ht="18" hidden="1" x14ac:dyDescent="0.25">
      <c r="C1342" s="2"/>
      <c r="D1342" s="2"/>
      <c r="E1342" s="2"/>
      <c r="F1342" s="2"/>
    </row>
    <row r="1343" spans="3:6" ht="18" hidden="1" x14ac:dyDescent="0.25">
      <c r="C1343" s="2"/>
      <c r="D1343" s="2"/>
      <c r="E1343" s="2"/>
      <c r="F1343" s="2"/>
    </row>
    <row r="1344" spans="3:6" ht="18" hidden="1" x14ac:dyDescent="0.25">
      <c r="C1344" s="2"/>
      <c r="D1344" s="2"/>
      <c r="E1344" s="2"/>
      <c r="F1344" s="2"/>
    </row>
    <row r="1345" spans="3:6" ht="18" hidden="1" x14ac:dyDescent="0.25">
      <c r="C1345" s="2"/>
      <c r="D1345" s="2"/>
      <c r="E1345" s="2"/>
      <c r="F1345" s="2"/>
    </row>
    <row r="1346" spans="3:6" ht="18" hidden="1" x14ac:dyDescent="0.25">
      <c r="C1346" s="2"/>
      <c r="D1346" s="2"/>
      <c r="E1346" s="2"/>
      <c r="F1346" s="2"/>
    </row>
    <row r="1347" spans="3:6" ht="18" hidden="1" x14ac:dyDescent="0.25">
      <c r="C1347" s="2"/>
      <c r="D1347" s="2"/>
      <c r="E1347" s="2"/>
      <c r="F1347" s="2"/>
    </row>
    <row r="1348" spans="3:6" ht="18" hidden="1" x14ac:dyDescent="0.25">
      <c r="C1348" s="2"/>
      <c r="D1348" s="2"/>
      <c r="E1348" s="2"/>
      <c r="F1348" s="2"/>
    </row>
    <row r="1349" spans="3:6" ht="18" hidden="1" x14ac:dyDescent="0.25">
      <c r="C1349" s="2"/>
      <c r="D1349" s="2"/>
      <c r="E1349" s="2"/>
      <c r="F1349" s="2"/>
    </row>
    <row r="1350" spans="3:6" ht="18" hidden="1" x14ac:dyDescent="0.25">
      <c r="C1350" s="2"/>
      <c r="D1350" s="2"/>
      <c r="E1350" s="2"/>
      <c r="F1350" s="2"/>
    </row>
    <row r="1351" spans="3:6" ht="18" hidden="1" x14ac:dyDescent="0.25">
      <c r="C1351" s="2"/>
      <c r="D1351" s="2"/>
      <c r="E1351" s="2"/>
      <c r="F1351" s="2"/>
    </row>
    <row r="1352" spans="3:6" ht="18" hidden="1" x14ac:dyDescent="0.25">
      <c r="C1352" s="2"/>
      <c r="D1352" s="2"/>
      <c r="E1352" s="2"/>
      <c r="F1352" s="2"/>
    </row>
    <row r="1353" spans="3:6" ht="18" hidden="1" x14ac:dyDescent="0.25">
      <c r="C1353" s="2"/>
      <c r="D1353" s="2"/>
      <c r="E1353" s="2"/>
      <c r="F1353" s="2"/>
    </row>
    <row r="1354" spans="3:6" ht="18" hidden="1" x14ac:dyDescent="0.25">
      <c r="C1354" s="2"/>
      <c r="D1354" s="2"/>
      <c r="E1354" s="2"/>
      <c r="F1354" s="2"/>
    </row>
    <row r="1355" spans="3:6" ht="18" hidden="1" x14ac:dyDescent="0.25">
      <c r="C1355" s="2"/>
      <c r="D1355" s="2"/>
      <c r="E1355" s="2"/>
      <c r="F1355" s="2"/>
    </row>
    <row r="1356" spans="3:6" ht="18" hidden="1" x14ac:dyDescent="0.25">
      <c r="C1356" s="2"/>
      <c r="D1356" s="2"/>
      <c r="E1356" s="2"/>
      <c r="F1356" s="2"/>
    </row>
    <row r="1357" spans="3:6" ht="18" hidden="1" x14ac:dyDescent="0.25">
      <c r="C1357" s="2"/>
      <c r="D1357" s="2"/>
      <c r="E1357" s="2"/>
      <c r="F1357" s="2"/>
    </row>
    <row r="1358" spans="3:6" ht="18" hidden="1" x14ac:dyDescent="0.25">
      <c r="C1358" s="2"/>
      <c r="D1358" s="2"/>
      <c r="E1358" s="2"/>
      <c r="F1358" s="2"/>
    </row>
    <row r="1359" spans="3:6" ht="18" hidden="1" x14ac:dyDescent="0.25">
      <c r="C1359" s="2"/>
      <c r="D1359" s="2"/>
      <c r="E1359" s="2"/>
      <c r="F1359" s="2"/>
    </row>
    <row r="1360" spans="3:6" ht="18" hidden="1" x14ac:dyDescent="0.25">
      <c r="C1360" s="2"/>
      <c r="D1360" s="2"/>
      <c r="E1360" s="2"/>
      <c r="F1360" s="2"/>
    </row>
    <row r="1361" spans="3:6" ht="18" hidden="1" x14ac:dyDescent="0.25">
      <c r="C1361" s="2"/>
      <c r="D1361" s="2"/>
      <c r="E1361" s="2"/>
      <c r="F1361" s="2"/>
    </row>
    <row r="1362" spans="3:6" ht="18" hidden="1" x14ac:dyDescent="0.25">
      <c r="C1362" s="2"/>
      <c r="D1362" s="2"/>
      <c r="E1362" s="2"/>
      <c r="F1362" s="2"/>
    </row>
    <row r="1363" spans="3:6" ht="18" hidden="1" x14ac:dyDescent="0.25">
      <c r="C1363" s="2"/>
      <c r="D1363" s="2"/>
      <c r="E1363" s="2"/>
      <c r="F1363" s="2"/>
    </row>
    <row r="1364" spans="3:6" ht="18" hidden="1" x14ac:dyDescent="0.25">
      <c r="C1364" s="2"/>
      <c r="D1364" s="2"/>
      <c r="E1364" s="2"/>
      <c r="F1364" s="2"/>
    </row>
    <row r="1365" spans="3:6" ht="18" hidden="1" x14ac:dyDescent="0.25">
      <c r="C1365" s="2"/>
      <c r="D1365" s="2"/>
      <c r="E1365" s="2"/>
      <c r="F1365" s="2"/>
    </row>
    <row r="1366" spans="3:6" ht="18" hidden="1" x14ac:dyDescent="0.25">
      <c r="C1366" s="2"/>
      <c r="D1366" s="2"/>
      <c r="E1366" s="2"/>
      <c r="F1366" s="2"/>
    </row>
    <row r="1367" spans="3:6" ht="18" hidden="1" x14ac:dyDescent="0.25">
      <c r="C1367" s="2"/>
      <c r="D1367" s="2"/>
      <c r="E1367" s="2"/>
      <c r="F1367" s="2"/>
    </row>
    <row r="1368" spans="3:6" ht="18" hidden="1" x14ac:dyDescent="0.25">
      <c r="C1368" s="2"/>
      <c r="D1368" s="2"/>
      <c r="E1368" s="2"/>
      <c r="F1368" s="2"/>
    </row>
    <row r="1369" spans="3:6" ht="18" hidden="1" x14ac:dyDescent="0.25">
      <c r="C1369" s="2"/>
      <c r="D1369" s="2"/>
      <c r="E1369" s="2"/>
      <c r="F1369" s="2"/>
    </row>
    <row r="1370" spans="3:6" ht="18" hidden="1" x14ac:dyDescent="0.25">
      <c r="C1370" s="2"/>
      <c r="D1370" s="2"/>
      <c r="E1370" s="2"/>
      <c r="F1370" s="2"/>
    </row>
    <row r="1371" spans="3:6" ht="18" hidden="1" x14ac:dyDescent="0.25">
      <c r="C1371" s="2"/>
      <c r="D1371" s="2"/>
      <c r="E1371" s="2"/>
      <c r="F1371" s="2"/>
    </row>
    <row r="1372" spans="3:6" ht="18" hidden="1" x14ac:dyDescent="0.25">
      <c r="C1372" s="2"/>
      <c r="D1372" s="2"/>
      <c r="E1372" s="2"/>
      <c r="F1372" s="2"/>
    </row>
    <row r="1373" spans="3:6" ht="18" hidden="1" x14ac:dyDescent="0.25">
      <c r="C1373" s="2"/>
      <c r="D1373" s="2"/>
      <c r="E1373" s="2"/>
      <c r="F1373" s="2"/>
    </row>
    <row r="1374" spans="3:6" ht="18" hidden="1" x14ac:dyDescent="0.25">
      <c r="C1374" s="2"/>
      <c r="D1374" s="2"/>
      <c r="E1374" s="2"/>
      <c r="F1374" s="2"/>
    </row>
    <row r="1375" spans="3:6" ht="18" hidden="1" x14ac:dyDescent="0.25">
      <c r="C1375" s="2"/>
      <c r="D1375" s="2"/>
      <c r="E1375" s="2"/>
      <c r="F1375" s="2"/>
    </row>
    <row r="1376" spans="3:6" ht="18" hidden="1" x14ac:dyDescent="0.25">
      <c r="C1376" s="2"/>
      <c r="D1376" s="2"/>
      <c r="E1376" s="2"/>
      <c r="F1376" s="2"/>
    </row>
    <row r="1377" spans="3:6" ht="18" hidden="1" x14ac:dyDescent="0.25">
      <c r="C1377" s="2"/>
      <c r="D1377" s="2"/>
      <c r="E1377" s="2"/>
      <c r="F1377" s="2"/>
    </row>
    <row r="1378" spans="3:6" ht="18" hidden="1" x14ac:dyDescent="0.25">
      <c r="C1378" s="2"/>
      <c r="D1378" s="2"/>
      <c r="E1378" s="2"/>
      <c r="F1378" s="2"/>
    </row>
    <row r="1379" spans="3:6" ht="18" hidden="1" x14ac:dyDescent="0.25">
      <c r="C1379" s="2"/>
      <c r="D1379" s="2"/>
      <c r="E1379" s="2"/>
      <c r="F1379" s="2"/>
    </row>
    <row r="1380" spans="3:6" ht="18" hidden="1" x14ac:dyDescent="0.25">
      <c r="C1380" s="2"/>
      <c r="D1380" s="2"/>
      <c r="E1380" s="2"/>
      <c r="F1380" s="2"/>
    </row>
    <row r="1381" spans="3:6" ht="18" hidden="1" x14ac:dyDescent="0.25">
      <c r="C1381" s="2"/>
      <c r="D1381" s="2"/>
      <c r="E1381" s="2"/>
      <c r="F1381" s="2"/>
    </row>
    <row r="1382" spans="3:6" ht="18" hidden="1" x14ac:dyDescent="0.25">
      <c r="C1382" s="2"/>
      <c r="D1382" s="2"/>
      <c r="E1382" s="2"/>
      <c r="F1382" s="2"/>
    </row>
    <row r="1383" spans="3:6" ht="18" hidden="1" x14ac:dyDescent="0.25">
      <c r="C1383" s="2"/>
      <c r="D1383" s="2"/>
      <c r="E1383" s="2"/>
      <c r="F1383" s="2"/>
    </row>
    <row r="1384" spans="3:6" ht="18" hidden="1" x14ac:dyDescent="0.25">
      <c r="C1384" s="2"/>
      <c r="D1384" s="2"/>
      <c r="E1384" s="2"/>
      <c r="F1384" s="2"/>
    </row>
    <row r="1385" spans="3:6" ht="18" hidden="1" x14ac:dyDescent="0.25">
      <c r="C1385" s="2"/>
      <c r="D1385" s="2"/>
      <c r="E1385" s="2"/>
      <c r="F1385" s="2"/>
    </row>
    <row r="1386" spans="3:6" ht="18" hidden="1" x14ac:dyDescent="0.25">
      <c r="C1386" s="2"/>
      <c r="D1386" s="2"/>
      <c r="E1386" s="2"/>
      <c r="F1386" s="2"/>
    </row>
    <row r="1387" spans="3:6" ht="18" hidden="1" x14ac:dyDescent="0.25">
      <c r="C1387" s="2"/>
      <c r="D1387" s="2"/>
      <c r="E1387" s="2"/>
      <c r="F1387" s="2"/>
    </row>
    <row r="1388" spans="3:6" ht="18" hidden="1" x14ac:dyDescent="0.25">
      <c r="C1388" s="2"/>
      <c r="D1388" s="2"/>
      <c r="E1388" s="2"/>
      <c r="F1388" s="2"/>
    </row>
    <row r="1389" spans="3:6" ht="18" hidden="1" x14ac:dyDescent="0.25">
      <c r="C1389" s="2"/>
      <c r="D1389" s="2"/>
      <c r="E1389" s="2"/>
      <c r="F1389" s="2"/>
    </row>
    <row r="1390" spans="3:6" ht="18" hidden="1" x14ac:dyDescent="0.25">
      <c r="C1390" s="2"/>
      <c r="D1390" s="2"/>
      <c r="E1390" s="2"/>
      <c r="F1390" s="2"/>
    </row>
    <row r="1391" spans="3:6" ht="18" hidden="1" x14ac:dyDescent="0.25">
      <c r="C1391" s="2"/>
      <c r="D1391" s="2"/>
      <c r="E1391" s="2"/>
      <c r="F1391" s="2"/>
    </row>
    <row r="1392" spans="3:6" ht="18" hidden="1" x14ac:dyDescent="0.25">
      <c r="C1392" s="2"/>
      <c r="D1392" s="2"/>
      <c r="E1392" s="2"/>
      <c r="F1392" s="2"/>
    </row>
    <row r="1393" spans="3:6" ht="18" hidden="1" x14ac:dyDescent="0.25">
      <c r="C1393" s="2"/>
      <c r="D1393" s="2"/>
      <c r="E1393" s="2"/>
      <c r="F1393" s="2"/>
    </row>
    <row r="1394" spans="3:6" ht="18" hidden="1" x14ac:dyDescent="0.25">
      <c r="C1394" s="2"/>
      <c r="D1394" s="2"/>
      <c r="E1394" s="2"/>
      <c r="F1394" s="2"/>
    </row>
    <row r="1395" spans="3:6" ht="18" hidden="1" x14ac:dyDescent="0.25">
      <c r="C1395" s="2"/>
      <c r="D1395" s="2"/>
      <c r="E1395" s="2"/>
      <c r="F1395" s="2"/>
    </row>
    <row r="1396" spans="3:6" ht="18" hidden="1" x14ac:dyDescent="0.25">
      <c r="C1396" s="2"/>
      <c r="D1396" s="2"/>
      <c r="E1396" s="2"/>
      <c r="F1396" s="2"/>
    </row>
    <row r="1397" spans="3:6" ht="18" hidden="1" x14ac:dyDescent="0.25">
      <c r="C1397" s="2"/>
      <c r="D1397" s="2"/>
      <c r="E1397" s="2"/>
      <c r="F1397" s="2"/>
    </row>
    <row r="1398" spans="3:6" ht="18" hidden="1" x14ac:dyDescent="0.25">
      <c r="C1398" s="2"/>
      <c r="D1398" s="2"/>
      <c r="E1398" s="2"/>
      <c r="F1398" s="2"/>
    </row>
    <row r="1399" spans="3:6" ht="18" hidden="1" x14ac:dyDescent="0.25">
      <c r="C1399" s="2"/>
      <c r="D1399" s="2"/>
      <c r="E1399" s="2"/>
      <c r="F1399" s="2"/>
    </row>
    <row r="1400" spans="3:6" ht="18" hidden="1" x14ac:dyDescent="0.25">
      <c r="C1400" s="2"/>
      <c r="D1400" s="2"/>
      <c r="E1400" s="2"/>
      <c r="F1400" s="2"/>
    </row>
    <row r="1401" spans="3:6" ht="18" hidden="1" x14ac:dyDescent="0.25">
      <c r="C1401" s="2"/>
      <c r="D1401" s="2"/>
      <c r="E1401" s="2"/>
      <c r="F1401" s="2"/>
    </row>
    <row r="1402" spans="3:6" ht="18" hidden="1" x14ac:dyDescent="0.25">
      <c r="C1402" s="2"/>
      <c r="D1402" s="2"/>
      <c r="E1402" s="2"/>
      <c r="F1402" s="2"/>
    </row>
    <row r="1403" spans="3:6" ht="18" hidden="1" x14ac:dyDescent="0.25">
      <c r="C1403" s="2"/>
      <c r="D1403" s="2"/>
      <c r="E1403" s="2"/>
      <c r="F1403" s="2"/>
    </row>
    <row r="1404" spans="3:6" ht="18" hidden="1" x14ac:dyDescent="0.25">
      <c r="C1404" s="2"/>
      <c r="D1404" s="2"/>
      <c r="E1404" s="2"/>
      <c r="F1404" s="2"/>
    </row>
    <row r="1405" spans="3:6" ht="18" hidden="1" x14ac:dyDescent="0.25">
      <c r="C1405" s="2"/>
      <c r="D1405" s="2"/>
      <c r="E1405" s="2"/>
      <c r="F1405" s="2"/>
    </row>
    <row r="1406" spans="3:6" ht="18" hidden="1" x14ac:dyDescent="0.25">
      <c r="C1406" s="2"/>
      <c r="D1406" s="2"/>
      <c r="E1406" s="2"/>
      <c r="F1406" s="2"/>
    </row>
    <row r="1407" spans="3:6" ht="18" hidden="1" x14ac:dyDescent="0.25">
      <c r="C1407" s="2"/>
      <c r="D1407" s="2"/>
      <c r="E1407" s="2"/>
      <c r="F1407" s="2"/>
    </row>
    <row r="1408" spans="3:6" ht="18" hidden="1" x14ac:dyDescent="0.25">
      <c r="C1408" s="2"/>
      <c r="D1408" s="2"/>
      <c r="E1408" s="2"/>
      <c r="F1408" s="2"/>
    </row>
    <row r="1409" spans="3:6" ht="18" hidden="1" x14ac:dyDescent="0.25">
      <c r="C1409" s="2"/>
      <c r="D1409" s="2"/>
      <c r="E1409" s="2"/>
      <c r="F1409" s="2"/>
    </row>
    <row r="1410" spans="3:6" ht="18" hidden="1" x14ac:dyDescent="0.25">
      <c r="C1410" s="2"/>
      <c r="D1410" s="2"/>
      <c r="E1410" s="2"/>
      <c r="F1410" s="2"/>
    </row>
    <row r="1411" spans="3:6" ht="18" hidden="1" x14ac:dyDescent="0.25">
      <c r="C1411" s="2"/>
      <c r="D1411" s="2"/>
      <c r="E1411" s="2"/>
      <c r="F1411" s="2"/>
    </row>
    <row r="1412" spans="3:6" ht="18" hidden="1" x14ac:dyDescent="0.25">
      <c r="C1412" s="2"/>
      <c r="D1412" s="2"/>
      <c r="E1412" s="2"/>
      <c r="F1412" s="2"/>
    </row>
    <row r="1413" spans="3:6" ht="18" hidden="1" x14ac:dyDescent="0.25">
      <c r="C1413" s="2"/>
      <c r="D1413" s="2"/>
      <c r="E1413" s="2"/>
      <c r="F1413" s="2"/>
    </row>
    <row r="1414" spans="3:6" ht="18" hidden="1" x14ac:dyDescent="0.25">
      <c r="C1414" s="2"/>
      <c r="D1414" s="2"/>
      <c r="E1414" s="2"/>
      <c r="F1414" s="2"/>
    </row>
    <row r="1415" spans="3:6" ht="18" hidden="1" x14ac:dyDescent="0.25">
      <c r="C1415" s="2"/>
      <c r="D1415" s="2"/>
      <c r="E1415" s="2"/>
      <c r="F1415" s="2"/>
    </row>
    <row r="1416" spans="3:6" ht="18" hidden="1" x14ac:dyDescent="0.25">
      <c r="C1416" s="2"/>
      <c r="D1416" s="2"/>
      <c r="E1416" s="2"/>
      <c r="F1416" s="2"/>
    </row>
    <row r="1417" spans="3:6" ht="18" hidden="1" x14ac:dyDescent="0.25">
      <c r="C1417" s="2"/>
      <c r="D1417" s="2"/>
      <c r="E1417" s="2"/>
      <c r="F1417" s="2"/>
    </row>
    <row r="1418" spans="3:6" ht="18" hidden="1" x14ac:dyDescent="0.25">
      <c r="C1418" s="2"/>
      <c r="D1418" s="2"/>
      <c r="E1418" s="2"/>
      <c r="F1418" s="2"/>
    </row>
    <row r="1419" spans="3:6" ht="18" hidden="1" x14ac:dyDescent="0.25">
      <c r="C1419" s="2"/>
      <c r="D1419" s="2"/>
      <c r="E1419" s="2"/>
      <c r="F1419" s="2"/>
    </row>
    <row r="1420" spans="3:6" ht="18" hidden="1" x14ac:dyDescent="0.25">
      <c r="C1420" s="2"/>
      <c r="D1420" s="2"/>
      <c r="E1420" s="2"/>
      <c r="F1420" s="2"/>
    </row>
    <row r="1421" spans="3:6" ht="18" hidden="1" x14ac:dyDescent="0.25">
      <c r="C1421" s="2"/>
      <c r="D1421" s="2"/>
      <c r="E1421" s="2"/>
      <c r="F1421" s="2"/>
    </row>
    <row r="1422" spans="3:6" ht="18" hidden="1" x14ac:dyDescent="0.25">
      <c r="C1422" s="2"/>
      <c r="D1422" s="2"/>
      <c r="E1422" s="2"/>
      <c r="F1422" s="2"/>
    </row>
    <row r="1423" spans="3:6" ht="18" hidden="1" x14ac:dyDescent="0.25">
      <c r="C1423" s="2"/>
      <c r="D1423" s="2"/>
      <c r="E1423" s="2"/>
      <c r="F1423" s="2"/>
    </row>
    <row r="1424" spans="3:6" ht="18" hidden="1" x14ac:dyDescent="0.25">
      <c r="C1424" s="2"/>
      <c r="D1424" s="2"/>
      <c r="E1424" s="2"/>
      <c r="F1424" s="2"/>
    </row>
    <row r="1425" spans="3:6" ht="18" hidden="1" x14ac:dyDescent="0.25">
      <c r="C1425" s="2"/>
      <c r="D1425" s="2"/>
      <c r="E1425" s="2"/>
      <c r="F1425" s="2"/>
    </row>
    <row r="1426" spans="3:6" ht="18" hidden="1" x14ac:dyDescent="0.25">
      <c r="C1426" s="2"/>
      <c r="D1426" s="2"/>
      <c r="E1426" s="2"/>
      <c r="F1426" s="2"/>
    </row>
    <row r="1427" spans="3:6" ht="18" hidden="1" x14ac:dyDescent="0.25">
      <c r="C1427" s="2"/>
      <c r="D1427" s="2"/>
      <c r="E1427" s="2"/>
      <c r="F1427" s="2"/>
    </row>
    <row r="1428" spans="3:6" ht="18" hidden="1" x14ac:dyDescent="0.25">
      <c r="C1428" s="2"/>
      <c r="D1428" s="2"/>
      <c r="E1428" s="2"/>
      <c r="F1428" s="2"/>
    </row>
    <row r="1429" spans="3:6" ht="18" hidden="1" x14ac:dyDescent="0.25">
      <c r="C1429" s="2"/>
      <c r="D1429" s="2"/>
      <c r="E1429" s="2"/>
      <c r="F1429" s="2"/>
    </row>
    <row r="1430" spans="3:6" ht="18" hidden="1" x14ac:dyDescent="0.25">
      <c r="C1430" s="2"/>
      <c r="D1430" s="2"/>
      <c r="E1430" s="2"/>
      <c r="F1430" s="2"/>
    </row>
    <row r="1431" spans="3:6" ht="18" hidden="1" x14ac:dyDescent="0.25">
      <c r="C1431" s="2"/>
      <c r="D1431" s="2"/>
      <c r="E1431" s="2"/>
      <c r="F1431" s="2"/>
    </row>
    <row r="1432" spans="3:6" ht="18" hidden="1" x14ac:dyDescent="0.25">
      <c r="C1432" s="2"/>
      <c r="D1432" s="2"/>
      <c r="E1432" s="2"/>
      <c r="F1432" s="2"/>
    </row>
    <row r="1433" spans="3:6" ht="18" hidden="1" x14ac:dyDescent="0.25">
      <c r="C1433" s="2"/>
      <c r="D1433" s="2"/>
      <c r="E1433" s="2"/>
      <c r="F1433" s="2"/>
    </row>
    <row r="1434" spans="3:6" ht="18" hidden="1" x14ac:dyDescent="0.25">
      <c r="C1434" s="2"/>
      <c r="D1434" s="2"/>
      <c r="E1434" s="2"/>
      <c r="F1434" s="2"/>
    </row>
    <row r="1435" spans="3:6" ht="18" hidden="1" x14ac:dyDescent="0.25">
      <c r="C1435" s="2"/>
      <c r="D1435" s="2"/>
      <c r="E1435" s="2"/>
      <c r="F1435" s="2"/>
    </row>
    <row r="1436" spans="3:6" ht="18" hidden="1" x14ac:dyDescent="0.25">
      <c r="C1436" s="2"/>
      <c r="D1436" s="2"/>
      <c r="E1436" s="2"/>
      <c r="F1436" s="2"/>
    </row>
    <row r="1437" spans="3:6" ht="18" hidden="1" x14ac:dyDescent="0.25">
      <c r="C1437" s="2"/>
      <c r="D1437" s="2"/>
      <c r="E1437" s="2"/>
      <c r="F1437" s="2"/>
    </row>
    <row r="1438" spans="3:6" ht="18" hidden="1" x14ac:dyDescent="0.25">
      <c r="C1438" s="2"/>
      <c r="D1438" s="2"/>
      <c r="E1438" s="2"/>
      <c r="F1438" s="2"/>
    </row>
    <row r="1439" spans="3:6" ht="18" hidden="1" x14ac:dyDescent="0.25">
      <c r="C1439" s="2"/>
      <c r="D1439" s="2"/>
      <c r="E1439" s="2"/>
      <c r="F1439" s="2"/>
    </row>
    <row r="1440" spans="3:6" ht="18" hidden="1" x14ac:dyDescent="0.25">
      <c r="C1440" s="2"/>
      <c r="D1440" s="2"/>
      <c r="E1440" s="2"/>
      <c r="F1440" s="2"/>
    </row>
    <row r="1441" spans="3:6" ht="18" hidden="1" x14ac:dyDescent="0.25">
      <c r="C1441" s="2"/>
      <c r="D1441" s="2"/>
      <c r="E1441" s="2"/>
      <c r="F1441" s="2"/>
    </row>
    <row r="1442" spans="3:6" ht="18" hidden="1" x14ac:dyDescent="0.25">
      <c r="C1442" s="2"/>
      <c r="D1442" s="2"/>
      <c r="E1442" s="2"/>
      <c r="F1442" s="2"/>
    </row>
    <row r="1443" spans="3:6" ht="18" hidden="1" x14ac:dyDescent="0.25">
      <c r="C1443" s="2"/>
      <c r="D1443" s="2"/>
      <c r="E1443" s="2"/>
      <c r="F1443" s="2"/>
    </row>
    <row r="1444" spans="3:6" ht="18" hidden="1" x14ac:dyDescent="0.25">
      <c r="C1444" s="2"/>
      <c r="D1444" s="2"/>
      <c r="E1444" s="2"/>
      <c r="F1444" s="2"/>
    </row>
    <row r="1445" spans="3:6" ht="18" hidden="1" x14ac:dyDescent="0.25">
      <c r="C1445" s="2"/>
      <c r="D1445" s="2"/>
      <c r="E1445" s="2"/>
      <c r="F1445" s="2"/>
    </row>
    <row r="1446" spans="3:6" ht="18" hidden="1" x14ac:dyDescent="0.25">
      <c r="C1446" s="2"/>
      <c r="D1446" s="2"/>
      <c r="E1446" s="2"/>
      <c r="F1446" s="2"/>
    </row>
    <row r="1447" spans="3:6" ht="18" hidden="1" x14ac:dyDescent="0.25">
      <c r="C1447" s="2"/>
      <c r="D1447" s="2"/>
      <c r="E1447" s="2"/>
      <c r="F1447" s="2"/>
    </row>
    <row r="1448" spans="3:6" ht="18" hidden="1" x14ac:dyDescent="0.25">
      <c r="C1448" s="2"/>
      <c r="D1448" s="2"/>
      <c r="E1448" s="2"/>
      <c r="F1448" s="2"/>
    </row>
    <row r="1449" spans="3:6" ht="18" hidden="1" x14ac:dyDescent="0.25">
      <c r="C1449" s="2"/>
      <c r="D1449" s="2"/>
      <c r="E1449" s="2"/>
      <c r="F1449" s="2"/>
    </row>
    <row r="1450" spans="3:6" ht="18" hidden="1" x14ac:dyDescent="0.25">
      <c r="C1450" s="2"/>
      <c r="D1450" s="2"/>
      <c r="E1450" s="2"/>
      <c r="F1450" s="2"/>
    </row>
    <row r="1451" spans="3:6" ht="18" hidden="1" x14ac:dyDescent="0.25">
      <c r="C1451" s="2"/>
      <c r="D1451" s="2"/>
      <c r="E1451" s="2"/>
      <c r="F1451" s="2"/>
    </row>
    <row r="1452" spans="3:6" ht="18" hidden="1" x14ac:dyDescent="0.25">
      <c r="C1452" s="2"/>
      <c r="D1452" s="2"/>
      <c r="E1452" s="2"/>
      <c r="F1452" s="2"/>
    </row>
    <row r="1453" spans="3:6" ht="18" hidden="1" x14ac:dyDescent="0.25">
      <c r="C1453" s="2"/>
      <c r="D1453" s="2"/>
      <c r="E1453" s="2"/>
      <c r="F1453" s="2"/>
    </row>
    <row r="1454" spans="3:6" ht="18" hidden="1" x14ac:dyDescent="0.25">
      <c r="C1454" s="2"/>
      <c r="D1454" s="2"/>
      <c r="E1454" s="2"/>
      <c r="F1454" s="2"/>
    </row>
    <row r="1455" spans="3:6" ht="18" hidden="1" x14ac:dyDescent="0.25">
      <c r="C1455" s="2"/>
      <c r="D1455" s="2"/>
      <c r="E1455" s="2"/>
      <c r="F1455" s="2"/>
    </row>
    <row r="1456" spans="3:6" ht="18" hidden="1" x14ac:dyDescent="0.25">
      <c r="C1456" s="2"/>
      <c r="D1456" s="2"/>
      <c r="E1456" s="2"/>
      <c r="F1456" s="2"/>
    </row>
    <row r="1457" spans="3:6" ht="18" hidden="1" x14ac:dyDescent="0.25">
      <c r="C1457" s="2"/>
      <c r="D1457" s="2"/>
      <c r="E1457" s="2"/>
      <c r="F1457" s="2"/>
    </row>
    <row r="1458" spans="3:6" ht="18" hidden="1" x14ac:dyDescent="0.25">
      <c r="C1458" s="2"/>
      <c r="D1458" s="2"/>
      <c r="E1458" s="2"/>
      <c r="F1458" s="2"/>
    </row>
    <row r="1459" spans="3:6" ht="18" hidden="1" x14ac:dyDescent="0.25">
      <c r="C1459" s="2"/>
      <c r="D1459" s="2"/>
      <c r="E1459" s="2"/>
      <c r="F1459" s="2"/>
    </row>
    <row r="1460" spans="3:6" ht="18" hidden="1" x14ac:dyDescent="0.25">
      <c r="C1460" s="2"/>
      <c r="D1460" s="2"/>
      <c r="E1460" s="2"/>
      <c r="F1460" s="2"/>
    </row>
    <row r="1461" spans="3:6" ht="18" hidden="1" x14ac:dyDescent="0.25">
      <c r="C1461" s="2"/>
      <c r="D1461" s="2"/>
      <c r="E1461" s="2"/>
      <c r="F1461" s="2"/>
    </row>
    <row r="1462" spans="3:6" ht="18" hidden="1" x14ac:dyDescent="0.25">
      <c r="C1462" s="2"/>
      <c r="D1462" s="2"/>
      <c r="E1462" s="2"/>
      <c r="F1462" s="2"/>
    </row>
    <row r="1463" spans="3:6" ht="18" hidden="1" x14ac:dyDescent="0.25">
      <c r="C1463" s="2"/>
      <c r="D1463" s="2"/>
      <c r="E1463" s="2"/>
      <c r="F1463" s="2"/>
    </row>
    <row r="1464" spans="3:6" ht="18" hidden="1" x14ac:dyDescent="0.25">
      <c r="C1464" s="2"/>
      <c r="D1464" s="2"/>
      <c r="E1464" s="2"/>
      <c r="F1464" s="2"/>
    </row>
    <row r="1465" spans="3:6" ht="18" hidden="1" x14ac:dyDescent="0.25">
      <c r="C1465" s="2"/>
      <c r="D1465" s="2"/>
      <c r="E1465" s="2"/>
      <c r="F1465" s="2"/>
    </row>
    <row r="1466" spans="3:6" ht="18" hidden="1" x14ac:dyDescent="0.25">
      <c r="C1466" s="2"/>
      <c r="D1466" s="2"/>
      <c r="E1466" s="2"/>
      <c r="F1466" s="2"/>
    </row>
    <row r="1467" spans="3:6" ht="18" hidden="1" x14ac:dyDescent="0.25">
      <c r="C1467" s="2"/>
      <c r="D1467" s="2"/>
      <c r="E1467" s="2"/>
      <c r="F1467" s="2"/>
    </row>
    <row r="1468" spans="3:6" ht="18" hidden="1" x14ac:dyDescent="0.25">
      <c r="C1468" s="2"/>
      <c r="D1468" s="2"/>
      <c r="E1468" s="2"/>
      <c r="F1468" s="2"/>
    </row>
    <row r="1469" spans="3:6" ht="18" hidden="1" x14ac:dyDescent="0.25">
      <c r="C1469" s="2"/>
      <c r="D1469" s="2"/>
      <c r="E1469" s="2"/>
      <c r="F1469" s="2"/>
    </row>
    <row r="1470" spans="3:6" ht="18" hidden="1" x14ac:dyDescent="0.25">
      <c r="C1470" s="2"/>
      <c r="D1470" s="2"/>
      <c r="E1470" s="2"/>
      <c r="F1470" s="2"/>
    </row>
    <row r="1471" spans="3:6" ht="18" hidden="1" x14ac:dyDescent="0.25">
      <c r="C1471" s="2"/>
      <c r="D1471" s="2"/>
      <c r="E1471" s="2"/>
      <c r="F1471" s="2"/>
    </row>
    <row r="1472" spans="3:6" ht="18" hidden="1" x14ac:dyDescent="0.25">
      <c r="C1472" s="2"/>
      <c r="D1472" s="2"/>
      <c r="E1472" s="2"/>
      <c r="F1472" s="2"/>
    </row>
    <row r="1473" spans="3:6" ht="18" hidden="1" x14ac:dyDescent="0.25">
      <c r="C1473" s="2"/>
      <c r="D1473" s="2"/>
      <c r="E1473" s="2"/>
      <c r="F1473" s="2"/>
    </row>
    <row r="1474" spans="3:6" ht="18" hidden="1" x14ac:dyDescent="0.25">
      <c r="C1474" s="2"/>
      <c r="D1474" s="2"/>
      <c r="E1474" s="2"/>
      <c r="F1474" s="2"/>
    </row>
    <row r="1475" spans="3:6" ht="18" hidden="1" x14ac:dyDescent="0.25">
      <c r="C1475" s="2"/>
      <c r="D1475" s="2"/>
      <c r="E1475" s="2"/>
      <c r="F1475" s="2"/>
    </row>
    <row r="1476" spans="3:6" ht="18" hidden="1" x14ac:dyDescent="0.25">
      <c r="C1476" s="2"/>
      <c r="D1476" s="2"/>
      <c r="E1476" s="2"/>
      <c r="F1476" s="2"/>
    </row>
    <row r="1477" spans="3:6" ht="18" hidden="1" x14ac:dyDescent="0.25">
      <c r="C1477" s="2"/>
      <c r="D1477" s="2"/>
      <c r="E1477" s="2"/>
      <c r="F1477" s="2"/>
    </row>
    <row r="1478" spans="3:6" ht="18" hidden="1" x14ac:dyDescent="0.25">
      <c r="C1478" s="2"/>
      <c r="D1478" s="2"/>
      <c r="E1478" s="2"/>
      <c r="F1478" s="2"/>
    </row>
    <row r="1479" spans="3:6" ht="18" hidden="1" x14ac:dyDescent="0.25">
      <c r="C1479" s="2"/>
      <c r="D1479" s="2"/>
      <c r="E1479" s="2"/>
      <c r="F1479" s="2"/>
    </row>
    <row r="1480" spans="3:6" ht="18" hidden="1" x14ac:dyDescent="0.25">
      <c r="C1480" s="2"/>
      <c r="D1480" s="2"/>
      <c r="E1480" s="2"/>
      <c r="F1480" s="2"/>
    </row>
    <row r="1481" spans="3:6" ht="18" hidden="1" x14ac:dyDescent="0.25">
      <c r="C1481" s="2"/>
      <c r="D1481" s="2"/>
      <c r="E1481" s="2"/>
      <c r="F1481" s="2"/>
    </row>
    <row r="1482" spans="3:6" ht="18" hidden="1" x14ac:dyDescent="0.25">
      <c r="C1482" s="2"/>
      <c r="D1482" s="2"/>
      <c r="E1482" s="2"/>
      <c r="F1482" s="2"/>
    </row>
    <row r="1483" spans="3:6" ht="18" hidden="1" x14ac:dyDescent="0.25">
      <c r="C1483" s="2"/>
      <c r="D1483" s="2"/>
      <c r="E1483" s="2"/>
      <c r="F1483" s="2"/>
    </row>
    <row r="1484" spans="3:6" ht="18" hidden="1" x14ac:dyDescent="0.25">
      <c r="C1484" s="2"/>
      <c r="D1484" s="2"/>
      <c r="E1484" s="2"/>
      <c r="F1484" s="2"/>
    </row>
    <row r="1485" spans="3:6" ht="18" hidden="1" x14ac:dyDescent="0.25">
      <c r="C1485" s="2"/>
      <c r="D1485" s="2"/>
      <c r="E1485" s="2"/>
      <c r="F1485" s="2"/>
    </row>
    <row r="1486" spans="3:6" ht="18" hidden="1" x14ac:dyDescent="0.25">
      <c r="C1486" s="2"/>
      <c r="D1486" s="2"/>
      <c r="E1486" s="2"/>
      <c r="F1486" s="2"/>
    </row>
    <row r="1487" spans="3:6" ht="18" hidden="1" x14ac:dyDescent="0.25">
      <c r="C1487" s="2"/>
      <c r="D1487" s="2"/>
      <c r="E1487" s="2"/>
      <c r="F1487" s="2"/>
    </row>
    <row r="1488" spans="3:6" ht="18" hidden="1" x14ac:dyDescent="0.25">
      <c r="C1488" s="2"/>
      <c r="D1488" s="2"/>
      <c r="E1488" s="2"/>
      <c r="F1488" s="2"/>
    </row>
    <row r="1489" spans="3:6" ht="18" hidden="1" x14ac:dyDescent="0.25">
      <c r="C1489" s="2"/>
      <c r="D1489" s="2"/>
      <c r="E1489" s="2"/>
      <c r="F1489" s="2"/>
    </row>
    <row r="1490" spans="3:6" ht="18" hidden="1" x14ac:dyDescent="0.25">
      <c r="C1490" s="2"/>
      <c r="D1490" s="2"/>
      <c r="E1490" s="2"/>
      <c r="F1490" s="2"/>
    </row>
    <row r="1491" spans="3:6" ht="18" hidden="1" x14ac:dyDescent="0.25">
      <c r="C1491" s="2"/>
      <c r="D1491" s="2"/>
      <c r="E1491" s="2"/>
      <c r="F1491" s="2"/>
    </row>
    <row r="1492" spans="3:6" ht="18" hidden="1" x14ac:dyDescent="0.25">
      <c r="C1492" s="2"/>
      <c r="D1492" s="2"/>
      <c r="E1492" s="2"/>
      <c r="F1492" s="2"/>
    </row>
    <row r="1493" spans="3:6" ht="18" hidden="1" x14ac:dyDescent="0.25">
      <c r="C1493" s="2"/>
      <c r="D1493" s="2"/>
      <c r="E1493" s="2"/>
      <c r="F1493" s="2"/>
    </row>
    <row r="1494" spans="3:6" ht="18" hidden="1" x14ac:dyDescent="0.25">
      <c r="C1494" s="2"/>
      <c r="D1494" s="2"/>
      <c r="E1494" s="2"/>
      <c r="F1494" s="2"/>
    </row>
    <row r="1495" spans="3:6" ht="18" hidden="1" x14ac:dyDescent="0.25">
      <c r="C1495" s="2"/>
      <c r="D1495" s="2"/>
      <c r="E1495" s="2"/>
      <c r="F1495" s="2"/>
    </row>
    <row r="1496" spans="3:6" ht="18" hidden="1" x14ac:dyDescent="0.25">
      <c r="C1496" s="2"/>
      <c r="D1496" s="2"/>
      <c r="E1496" s="2"/>
      <c r="F1496" s="2"/>
    </row>
    <row r="1497" spans="3:6" ht="18" hidden="1" x14ac:dyDescent="0.25">
      <c r="C1497" s="2"/>
      <c r="D1497" s="2"/>
      <c r="E1497" s="2"/>
      <c r="F1497" s="2"/>
    </row>
    <row r="1498" spans="3:6" ht="18" hidden="1" x14ac:dyDescent="0.25">
      <c r="C1498" s="2"/>
      <c r="D1498" s="2"/>
      <c r="E1498" s="2"/>
      <c r="F1498" s="2"/>
    </row>
    <row r="1499" spans="3:6" ht="18" hidden="1" x14ac:dyDescent="0.25">
      <c r="C1499" s="2"/>
      <c r="D1499" s="2"/>
      <c r="E1499" s="2"/>
      <c r="F1499" s="2"/>
    </row>
    <row r="1500" spans="3:6" ht="18" hidden="1" x14ac:dyDescent="0.25">
      <c r="C1500" s="2"/>
      <c r="D1500" s="2"/>
      <c r="E1500" s="2"/>
      <c r="F1500" s="2"/>
    </row>
  </sheetData>
  <sheetProtection selectLockedCells="1"/>
  <dataValidations count="9">
    <dataValidation type="decimal" allowBlank="1" showInputMessage="1" showErrorMessage="1" errorTitle="Dado inválido" error="O comprimento padrão deve ser menor que o comprimento total." sqref="D1013:D1500" xr:uid="{B595052A-882E-4BC5-9866-D2DCB1C2C876}">
      <formula1>0</formula1>
      <formula2>C1013</formula2>
    </dataValidation>
    <dataValidation type="decimal" allowBlank="1" showInputMessage="1" showErrorMessage="1" errorTitle="Dado inválido" error="O peso eviserado deve ser menor que o peso total." sqref="F1013:F1500" xr:uid="{8F028242-54B3-4CC9-A82E-EDC6576A01C2}">
      <formula1>0</formula1>
      <formula2>E1013</formula2>
    </dataValidation>
    <dataValidation type="list" allowBlank="1" showDropDown="1" showInputMessage="1" showErrorMessage="1" sqref="G12:G511" xr:uid="{A7ACFB5C-6604-4388-B74C-1E8A1E541944}">
      <formula1>$W$2:$W$4</formula1>
    </dataValidation>
    <dataValidation type="list" allowBlank="1" showDropDown="1" showInputMessage="1" showErrorMessage="1" sqref="H12:H511" xr:uid="{9B1D3EC2-307C-4F5A-9E58-3701A9F092EC}">
      <formula1>$Z$2:$Z$5</formula1>
    </dataValidation>
    <dataValidation type="list" allowBlank="1" showDropDown="1" showInputMessage="1" showErrorMessage="1" sqref="I12:K511" xr:uid="{DBEE20ED-6380-4D85-87C8-832107E6581B}">
      <formula1>$AC$2:$AC$3</formula1>
    </dataValidation>
    <dataValidation type="decimal" operator="greaterThan" allowBlank="1" showInputMessage="1" showErrorMessage="1" errorTitle="Dado inválido" error="O comprimento total deve ser maior que zero e maior que o comprimento padrão." sqref="C1013:C1500 C12:C511" xr:uid="{9AF4A6AE-9C94-4D07-BB35-F8375DE7937E}">
      <formula1>N12</formula1>
    </dataValidation>
    <dataValidation type="decimal" operator="greaterThan" allowBlank="1" showInputMessage="1" showErrorMessage="1" errorTitle="Dado inválido" error="O peso total deve ser maior que zero e maior que o peso eviserado." sqref="E1013:E1500 E12:E511" xr:uid="{9633436B-AE0B-4F28-B5AC-CEB17C735C65}">
      <formula1>O12</formula1>
    </dataValidation>
    <dataValidation type="decimal" allowBlank="1" showInputMessage="1" showErrorMessage="1" errorTitle="Dado inválido" error="O comprimento padrão deve ser maior que zero e menor que o comprimento total." sqref="D12:D511" xr:uid="{E20D4D08-E959-4A9E-A006-D38768E65B75}">
      <formula1>0.01</formula1>
      <formula2>C12-0.01</formula2>
    </dataValidation>
    <dataValidation type="decimal" allowBlank="1" showInputMessage="1" showErrorMessage="1" errorTitle="Dado inválido" error="O peso eviserado deve ser maior que zero e menor que o peso total." sqref="F12:F511" xr:uid="{AF527A7A-4D98-4C7B-BA0F-4C1DE1900E3E}">
      <formula1>0.01</formula1>
      <formula2>E12-0.001</formula2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4" r:id="rId4" name="TempCombo1">
          <controlPr defaultSize="0" autoLine="0" linkedCell="$B$12" listFillRange="'Ficha de desembarque'!$A$39:$A$58" r:id="rId5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3074" r:id="rId4" name="TempCombo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DropDown="1" showInputMessage="1" showErrorMessage="1" errorTitle="Dado inválido" error="Esta espécie foi capturada." xr:uid="{36DFAB58-48EB-4AAB-BBF5-72BBEBC543C2}">
          <x14:formula1>
            <xm:f>'Ficha de desembarque'!$A$39:$A$58</xm:f>
          </x14:formula1>
          <xm:sqref>B13:B511</xm:sqref>
        </x14:dataValidation>
        <x14:dataValidation type="list" allowBlank="1" showDropDown="1" showInputMessage="1" showErrorMessage="1" errorTitle="Dado inválido" error="Esta espécie não foi capturada." xr:uid="{F729435B-8CD8-4881-85FC-E789CBE712EE}">
          <x14:formula1>
            <xm:f>'Ficha de desembarque'!$A$39:$A$58</xm:f>
          </x14:formula1>
          <xm:sqref>B12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22DB-B0C7-4BBF-AC9B-030010D312B4}">
  <sheetPr codeName="Planilha4"/>
  <dimension ref="A1:EU22"/>
  <sheetViews>
    <sheetView workbookViewId="0"/>
  </sheetViews>
  <sheetFormatPr defaultRowHeight="15" x14ac:dyDescent="0.25"/>
  <cols>
    <col min="1" max="1" width="22.28515625" style="11" bestFit="1" customWidth="1"/>
    <col min="2" max="2" width="13.85546875" style="11" bestFit="1" customWidth="1"/>
    <col min="3" max="3" width="12.28515625" style="11" bestFit="1" customWidth="1"/>
    <col min="4" max="4" width="9.42578125" style="11" bestFit="1" customWidth="1"/>
    <col min="5" max="5" width="12.42578125" style="11" bestFit="1" customWidth="1"/>
    <col min="6" max="6" width="7.42578125" style="11" bestFit="1" customWidth="1"/>
    <col min="7" max="7" width="20" style="11" bestFit="1" customWidth="1"/>
    <col min="8" max="9" width="10.7109375" style="11" bestFit="1" customWidth="1"/>
    <col min="10" max="11" width="15.85546875" style="11" bestFit="1" customWidth="1"/>
    <col min="12" max="13" width="8.7109375" style="11" bestFit="1" customWidth="1"/>
    <col min="14" max="14" width="8" style="11" bestFit="1" customWidth="1"/>
    <col min="15" max="15" width="8.7109375" style="11" bestFit="1" customWidth="1"/>
    <col min="16" max="16" width="8.5703125" style="11" bestFit="1" customWidth="1"/>
    <col min="17" max="17" width="7" style="11" bestFit="1" customWidth="1"/>
    <col min="18" max="18" width="8" style="11" bestFit="1" customWidth="1"/>
    <col min="19" max="21" width="7" style="11" customWidth="1"/>
    <col min="22" max="22" width="12.7109375" style="11" bestFit="1" customWidth="1"/>
    <col min="23" max="23" width="11.140625" style="11" bestFit="1" customWidth="1"/>
    <col min="24" max="24" width="9.85546875" style="11" bestFit="1" customWidth="1"/>
    <col min="25" max="25" width="8.28515625" style="11" bestFit="1" customWidth="1"/>
    <col min="26" max="26" width="10.42578125" style="11" bestFit="1" customWidth="1"/>
    <col min="27" max="27" width="10.5703125" style="11" bestFit="1" customWidth="1"/>
    <col min="28" max="28" width="9.42578125" style="11" bestFit="1" customWidth="1"/>
    <col min="29" max="29" width="11.7109375" style="11" bestFit="1" customWidth="1"/>
    <col min="30" max="30" width="13.28515625" style="11" bestFit="1" customWidth="1"/>
    <col min="31" max="31" width="9.5703125" style="11" bestFit="1" customWidth="1"/>
    <col min="32" max="33" width="7.85546875" style="11" bestFit="1" customWidth="1"/>
    <col min="34" max="34" width="6.85546875" style="11" bestFit="1" customWidth="1"/>
    <col min="35" max="35" width="7.7109375" style="11" bestFit="1" customWidth="1"/>
    <col min="36" max="36" width="12.85546875" style="11" bestFit="1" customWidth="1"/>
    <col min="37" max="38" width="9.7109375" style="11" bestFit="1" customWidth="1"/>
    <col min="39" max="39" width="9.85546875" style="11" bestFit="1" customWidth="1"/>
    <col min="40" max="40" width="7.7109375" style="11" bestFit="1" customWidth="1"/>
    <col min="41" max="41" width="9.140625" style="11"/>
    <col min="42" max="42" width="6.28515625" style="11" bestFit="1" customWidth="1"/>
    <col min="43" max="43" width="8" style="11" bestFit="1" customWidth="1"/>
    <col min="44" max="44" width="13.42578125" style="11" bestFit="1" customWidth="1"/>
    <col min="45" max="45" width="8" style="11" bestFit="1" customWidth="1"/>
    <col min="46" max="46" width="9.85546875" style="11" bestFit="1" customWidth="1"/>
    <col min="47" max="47" width="10" style="11" bestFit="1" customWidth="1"/>
    <col min="48" max="48" width="10.7109375" style="11" bestFit="1" customWidth="1"/>
    <col min="49" max="49" width="9.85546875" style="11" bestFit="1" customWidth="1"/>
    <col min="50" max="50" width="12.28515625" style="11" bestFit="1" customWidth="1"/>
    <col min="51" max="52" width="9.7109375" style="11" bestFit="1" customWidth="1"/>
    <col min="53" max="53" width="14.140625" style="11" bestFit="1" customWidth="1"/>
    <col min="54" max="54" width="10.28515625" style="11" bestFit="1" customWidth="1"/>
    <col min="55" max="55" width="9.85546875" style="11" bestFit="1" customWidth="1"/>
    <col min="56" max="56" width="10.42578125" style="11" bestFit="1" customWidth="1"/>
    <col min="57" max="57" width="10" style="11" bestFit="1" customWidth="1"/>
    <col min="58" max="58" width="14" style="11" bestFit="1" customWidth="1"/>
    <col min="59" max="59" width="8.42578125" style="11" bestFit="1" customWidth="1"/>
    <col min="60" max="60" width="8.140625" style="11" bestFit="1" customWidth="1"/>
    <col min="61" max="61" width="10.28515625" style="11" bestFit="1" customWidth="1"/>
    <col min="62" max="62" width="8" style="11" bestFit="1" customWidth="1"/>
    <col min="63" max="63" width="11.42578125" style="11" bestFit="1" customWidth="1"/>
    <col min="64" max="64" width="6.5703125" style="11" bestFit="1" customWidth="1"/>
    <col min="65" max="65" width="14.5703125" style="11" bestFit="1" customWidth="1"/>
    <col min="66" max="66" width="6.140625" style="11" bestFit="1" customWidth="1"/>
    <col min="67" max="67" width="9.28515625" style="11" bestFit="1" customWidth="1"/>
    <col min="68" max="68" width="10.7109375" style="11" bestFit="1" customWidth="1"/>
    <col min="69" max="69" width="8.42578125" style="11" bestFit="1" customWidth="1"/>
    <col min="70" max="70" width="10" style="11" bestFit="1" customWidth="1"/>
    <col min="71" max="71" width="10.140625" style="11" bestFit="1" customWidth="1"/>
    <col min="72" max="72" width="9.85546875" style="11" bestFit="1" customWidth="1"/>
    <col min="73" max="73" width="8" style="11" bestFit="1" customWidth="1"/>
    <col min="74" max="74" width="11.140625" style="11" bestFit="1" customWidth="1"/>
    <col min="75" max="75" width="8.7109375" style="11" bestFit="1" customWidth="1"/>
    <col min="76" max="76" width="8.140625" style="11" bestFit="1" customWidth="1"/>
    <col min="77" max="77" width="5.85546875" style="11" bestFit="1" customWidth="1"/>
    <col min="78" max="78" width="12.7109375" style="11" bestFit="1" customWidth="1"/>
    <col min="79" max="79" width="9.7109375" style="11" bestFit="1" customWidth="1"/>
    <col min="80" max="80" width="13.28515625" style="11" bestFit="1" customWidth="1"/>
    <col min="81" max="81" width="9.85546875" style="11" bestFit="1" customWidth="1"/>
    <col min="82" max="82" width="9.140625" style="11"/>
    <col min="83" max="83" width="11.7109375" style="11" bestFit="1" customWidth="1"/>
    <col min="84" max="84" width="11.5703125" style="11" bestFit="1" customWidth="1"/>
    <col min="85" max="85" width="9.7109375" style="11" bestFit="1" customWidth="1"/>
    <col min="86" max="86" width="5.42578125" style="11" bestFit="1" customWidth="1"/>
    <col min="87" max="88" width="10.42578125" style="11" bestFit="1" customWidth="1"/>
    <col min="89" max="89" width="10.140625" style="11" bestFit="1" customWidth="1"/>
    <col min="90" max="90" width="14.28515625" style="11" bestFit="1" customWidth="1"/>
    <col min="91" max="91" width="8.85546875" style="11" bestFit="1" customWidth="1"/>
    <col min="92" max="92" width="6.28515625" style="11" bestFit="1" customWidth="1"/>
    <col min="93" max="93" width="9.28515625" style="11" bestFit="1" customWidth="1"/>
    <col min="94" max="94" width="10.28515625" style="11" bestFit="1" customWidth="1"/>
    <col min="95" max="95" width="11.85546875" style="11" bestFit="1" customWidth="1"/>
    <col min="96" max="96" width="7.7109375" style="11" bestFit="1" customWidth="1"/>
    <col min="97" max="97" width="8.42578125" style="11" bestFit="1" customWidth="1"/>
    <col min="98" max="98" width="7.28515625" style="11" bestFit="1" customWidth="1"/>
    <col min="99" max="99" width="5.85546875" style="11" bestFit="1" customWidth="1"/>
    <col min="100" max="100" width="11.28515625" style="11" bestFit="1" customWidth="1"/>
    <col min="101" max="101" width="12.28515625" style="11" bestFit="1" customWidth="1"/>
    <col min="102" max="102" width="9.5703125" style="11" bestFit="1" customWidth="1"/>
    <col min="103" max="103" width="9.140625" style="11"/>
    <col min="104" max="104" width="18.5703125" style="11" bestFit="1" customWidth="1"/>
    <col min="105" max="105" width="17.42578125" style="11" bestFit="1" customWidth="1"/>
    <col min="106" max="106" width="19" style="11" bestFit="1" customWidth="1"/>
    <col min="107" max="107" width="12.42578125" style="11" bestFit="1" customWidth="1"/>
    <col min="108" max="108" width="11.140625" style="11" bestFit="1" customWidth="1"/>
    <col min="109" max="109" width="12.85546875" style="11" bestFit="1" customWidth="1"/>
    <col min="110" max="110" width="9.140625" style="11"/>
    <col min="111" max="111" width="10.28515625" style="11" bestFit="1" customWidth="1"/>
    <col min="112" max="112" width="12.42578125" style="11" bestFit="1" customWidth="1"/>
    <col min="113" max="113" width="10" style="11" bestFit="1" customWidth="1"/>
    <col min="114" max="114" width="10.7109375" style="11" bestFit="1" customWidth="1"/>
    <col min="115" max="115" width="9.140625" style="11"/>
    <col min="116" max="116" width="9.42578125" style="11" bestFit="1" customWidth="1"/>
    <col min="117" max="117" width="9.85546875" style="11" bestFit="1" customWidth="1"/>
    <col min="118" max="118" width="12.42578125" style="11" bestFit="1" customWidth="1"/>
    <col min="119" max="119" width="12.85546875" style="11" bestFit="1" customWidth="1"/>
    <col min="120" max="120" width="8.140625" style="11" bestFit="1" customWidth="1"/>
    <col min="121" max="121" width="10.85546875" style="11" bestFit="1" customWidth="1"/>
    <col min="122" max="122" width="13.28515625" style="11" bestFit="1" customWidth="1"/>
    <col min="123" max="123" width="7" style="11" bestFit="1" customWidth="1"/>
    <col min="124" max="124" width="10.28515625" style="11" bestFit="1" customWidth="1"/>
    <col min="125" max="125" width="7.28515625" style="11" bestFit="1" customWidth="1"/>
    <col min="126" max="126" width="6.5703125" style="11" bestFit="1" customWidth="1"/>
    <col min="127" max="127" width="9.5703125" style="11" bestFit="1" customWidth="1"/>
    <col min="128" max="128" width="7.85546875" style="11" bestFit="1" customWidth="1"/>
    <col min="129" max="129" width="6.85546875" style="11" bestFit="1" customWidth="1"/>
    <col min="130" max="130" width="8.7109375" style="11" bestFit="1" customWidth="1"/>
    <col min="131" max="131" width="8.140625" style="11" bestFit="1" customWidth="1"/>
    <col min="132" max="132" width="9.5703125" style="11" bestFit="1" customWidth="1"/>
    <col min="133" max="133" width="10.140625" style="11" bestFit="1" customWidth="1"/>
    <col min="134" max="134" width="10.7109375" style="11" bestFit="1" customWidth="1"/>
    <col min="135" max="135" width="8.85546875" style="11" bestFit="1" customWidth="1"/>
    <col min="136" max="136" width="7.5703125" style="11" bestFit="1" customWidth="1"/>
    <col min="137" max="137" width="6.85546875" style="11" bestFit="1" customWidth="1"/>
    <col min="138" max="138" width="9" style="11" bestFit="1" customWidth="1"/>
    <col min="139" max="139" width="5.140625" style="11" bestFit="1" customWidth="1"/>
    <col min="140" max="140" width="6.5703125" style="11" bestFit="1" customWidth="1"/>
    <col min="141" max="141" width="6.42578125" style="11" bestFit="1" customWidth="1"/>
    <col min="142" max="142" width="6" style="11" bestFit="1" customWidth="1"/>
    <col min="143" max="143" width="10.7109375" style="11" bestFit="1" customWidth="1"/>
    <col min="144" max="145" width="9.140625" style="11"/>
    <col min="146" max="146" width="11.140625" style="11" bestFit="1" customWidth="1"/>
    <col min="147" max="147" width="9.140625" style="11"/>
    <col min="148" max="148" width="12.42578125" style="11" bestFit="1" customWidth="1"/>
    <col min="149" max="149" width="14.28515625" style="11" bestFit="1" customWidth="1"/>
    <col min="150" max="16384" width="9.140625" style="11"/>
  </cols>
  <sheetData>
    <row r="1" spans="1:151" x14ac:dyDescent="0.25">
      <c r="A1" s="11" t="s">
        <v>730</v>
      </c>
      <c r="B1" s="11" t="s">
        <v>5</v>
      </c>
      <c r="C1" s="11" t="s">
        <v>640</v>
      </c>
      <c r="D1" s="11" t="s">
        <v>641</v>
      </c>
      <c r="E1" s="11" t="s">
        <v>642</v>
      </c>
      <c r="F1" s="11" t="s">
        <v>487</v>
      </c>
      <c r="G1" s="11" t="s">
        <v>643</v>
      </c>
      <c r="H1" s="11" t="s">
        <v>644</v>
      </c>
      <c r="I1" s="11" t="s">
        <v>645</v>
      </c>
      <c r="J1" s="11" t="s">
        <v>646</v>
      </c>
      <c r="K1" s="11" t="s">
        <v>647</v>
      </c>
      <c r="L1" s="11" t="s">
        <v>648</v>
      </c>
      <c r="M1" s="11" t="s">
        <v>649</v>
      </c>
      <c r="N1" s="11" t="s">
        <v>650</v>
      </c>
      <c r="O1" s="11" t="s">
        <v>651</v>
      </c>
      <c r="P1" s="11" t="s">
        <v>652</v>
      </c>
      <c r="Q1" s="11" t="s">
        <v>653</v>
      </c>
      <c r="R1" s="11" t="s">
        <v>734</v>
      </c>
      <c r="S1" s="11" t="s">
        <v>736</v>
      </c>
      <c r="T1" s="11" t="s">
        <v>735</v>
      </c>
      <c r="U1" s="11" t="s">
        <v>733</v>
      </c>
      <c r="V1" s="11" t="s">
        <v>499</v>
      </c>
      <c r="W1" s="11" t="s">
        <v>500</v>
      </c>
      <c r="X1" s="11" t="s">
        <v>501</v>
      </c>
      <c r="Y1" s="11" t="s">
        <v>502</v>
      </c>
      <c r="Z1" s="11" t="s">
        <v>503</v>
      </c>
      <c r="AA1" s="11" t="s">
        <v>504</v>
      </c>
      <c r="AB1" s="11" t="s">
        <v>505</v>
      </c>
      <c r="AC1" s="11" t="s">
        <v>506</v>
      </c>
      <c r="AD1" s="11" t="s">
        <v>507</v>
      </c>
      <c r="AE1" s="11" t="s">
        <v>508</v>
      </c>
      <c r="AF1" s="11" t="s">
        <v>509</v>
      </c>
      <c r="AG1" s="11" t="s">
        <v>510</v>
      </c>
      <c r="AH1" s="11" t="s">
        <v>511</v>
      </c>
      <c r="AI1" s="11" t="s">
        <v>248</v>
      </c>
      <c r="AJ1" s="11" t="s">
        <v>512</v>
      </c>
      <c r="AK1" s="11" t="s">
        <v>513</v>
      </c>
      <c r="AL1" s="11" t="s">
        <v>514</v>
      </c>
      <c r="AM1" s="11" t="s">
        <v>515</v>
      </c>
      <c r="AN1" s="11" t="s">
        <v>516</v>
      </c>
      <c r="AO1" s="11" t="s">
        <v>517</v>
      </c>
      <c r="AP1" s="11" t="s">
        <v>518</v>
      </c>
      <c r="AQ1" s="11" t="s">
        <v>519</v>
      </c>
      <c r="AR1" s="11" t="s">
        <v>520</v>
      </c>
      <c r="AS1" s="11" t="s">
        <v>521</v>
      </c>
      <c r="AT1" s="11" t="s">
        <v>522</v>
      </c>
      <c r="AU1" s="11" t="s">
        <v>523</v>
      </c>
      <c r="AV1" s="11" t="s">
        <v>524</v>
      </c>
      <c r="AW1" s="11" t="s">
        <v>525</v>
      </c>
      <c r="AX1" s="11" t="s">
        <v>288</v>
      </c>
      <c r="AY1" s="11" t="s">
        <v>526</v>
      </c>
      <c r="AZ1" s="11" t="s">
        <v>527</v>
      </c>
      <c r="BA1" s="11" t="s">
        <v>528</v>
      </c>
      <c r="BB1" s="11" t="s">
        <v>529</v>
      </c>
      <c r="BC1" s="11" t="s">
        <v>530</v>
      </c>
      <c r="BD1" s="11" t="s">
        <v>531</v>
      </c>
      <c r="BE1" s="11" t="s">
        <v>532</v>
      </c>
      <c r="BF1" s="11" t="s">
        <v>533</v>
      </c>
      <c r="BG1" s="11" t="s">
        <v>534</v>
      </c>
      <c r="BH1" s="11" t="s">
        <v>535</v>
      </c>
      <c r="BI1" s="11" t="s">
        <v>536</v>
      </c>
      <c r="BJ1" s="11" t="s">
        <v>537</v>
      </c>
      <c r="BK1" s="11" t="s">
        <v>538</v>
      </c>
      <c r="BL1" s="11" t="s">
        <v>539</v>
      </c>
      <c r="BM1" s="11" t="s">
        <v>540</v>
      </c>
      <c r="BN1" s="11" t="s">
        <v>541</v>
      </c>
      <c r="BO1" s="11" t="s">
        <v>542</v>
      </c>
      <c r="BP1" s="11" t="s">
        <v>543</v>
      </c>
      <c r="BQ1" s="11" t="s">
        <v>544</v>
      </c>
      <c r="BR1" s="11" t="s">
        <v>545</v>
      </c>
      <c r="BS1" s="11" t="s">
        <v>546</v>
      </c>
      <c r="BT1" s="11" t="s">
        <v>547</v>
      </c>
      <c r="BU1" s="11" t="s">
        <v>548</v>
      </c>
      <c r="BV1" s="11" t="s">
        <v>549</v>
      </c>
      <c r="BW1" s="11" t="s">
        <v>550</v>
      </c>
      <c r="BX1" s="11" t="s">
        <v>551</v>
      </c>
      <c r="BY1" s="11" t="s">
        <v>552</v>
      </c>
      <c r="BZ1" s="11" t="s">
        <v>553</v>
      </c>
      <c r="CA1" s="11" t="s">
        <v>554</v>
      </c>
      <c r="CB1" s="11" t="s">
        <v>555</v>
      </c>
      <c r="CC1" s="11" t="s">
        <v>556</v>
      </c>
      <c r="CD1" s="11" t="s">
        <v>557</v>
      </c>
      <c r="CE1" s="11" t="s">
        <v>558</v>
      </c>
      <c r="CF1" s="11" t="s">
        <v>559</v>
      </c>
      <c r="CG1" s="11" t="s">
        <v>560</v>
      </c>
      <c r="CH1" s="11" t="s">
        <v>561</v>
      </c>
      <c r="CI1" s="11" t="s">
        <v>562</v>
      </c>
      <c r="CJ1" s="11" t="s">
        <v>563</v>
      </c>
      <c r="CK1" s="11" t="s">
        <v>564</v>
      </c>
      <c r="CL1" s="11" t="s">
        <v>565</v>
      </c>
      <c r="CM1" s="11" t="s">
        <v>566</v>
      </c>
      <c r="CN1" s="11" t="s">
        <v>567</v>
      </c>
      <c r="CO1" s="11" t="s">
        <v>568</v>
      </c>
      <c r="CP1" s="11" t="s">
        <v>569</v>
      </c>
      <c r="CQ1" s="11" t="s">
        <v>570</v>
      </c>
      <c r="CR1" s="11" t="s">
        <v>571</v>
      </c>
      <c r="CS1" s="11" t="s">
        <v>572</v>
      </c>
      <c r="CT1" s="11" t="s">
        <v>573</v>
      </c>
      <c r="CU1" s="11" t="s">
        <v>574</v>
      </c>
      <c r="CV1" s="11" t="s">
        <v>575</v>
      </c>
      <c r="CW1" s="11" t="s">
        <v>576</v>
      </c>
      <c r="CX1" s="11" t="s">
        <v>577</v>
      </c>
      <c r="CY1" s="11" t="s">
        <v>578</v>
      </c>
      <c r="CZ1" s="11" t="s">
        <v>579</v>
      </c>
      <c r="DA1" s="11" t="s">
        <v>580</v>
      </c>
      <c r="DB1" s="11" t="s">
        <v>581</v>
      </c>
      <c r="DC1" s="11" t="s">
        <v>582</v>
      </c>
      <c r="DD1" s="11" t="s">
        <v>583</v>
      </c>
      <c r="DE1" s="11" t="s">
        <v>584</v>
      </c>
      <c r="DF1" s="11" t="s">
        <v>585</v>
      </c>
      <c r="DG1" s="11" t="s">
        <v>586</v>
      </c>
      <c r="DH1" s="11" t="s">
        <v>587</v>
      </c>
      <c r="DI1" s="11" t="s">
        <v>588</v>
      </c>
      <c r="DJ1" s="11" t="s">
        <v>589</v>
      </c>
      <c r="DK1" s="11" t="s">
        <v>590</v>
      </c>
      <c r="DL1" s="11" t="s">
        <v>591</v>
      </c>
      <c r="DM1" s="11" t="s">
        <v>592</v>
      </c>
      <c r="DN1" s="11" t="s">
        <v>593</v>
      </c>
      <c r="DO1" s="11" t="s">
        <v>594</v>
      </c>
      <c r="DP1" s="11" t="s">
        <v>595</v>
      </c>
      <c r="DQ1" s="11" t="s">
        <v>596</v>
      </c>
      <c r="DR1" s="11" t="s">
        <v>597</v>
      </c>
      <c r="DS1" s="11" t="s">
        <v>598</v>
      </c>
      <c r="DT1" s="11" t="s">
        <v>599</v>
      </c>
      <c r="DU1" s="11" t="s">
        <v>600</v>
      </c>
      <c r="DV1" s="11" t="s">
        <v>601</v>
      </c>
      <c r="DW1" s="11" t="s">
        <v>602</v>
      </c>
      <c r="DX1" s="11" t="s">
        <v>603</v>
      </c>
      <c r="DY1" s="11" t="s">
        <v>604</v>
      </c>
      <c r="DZ1" s="11" t="s">
        <v>605</v>
      </c>
      <c r="EA1" s="11" t="s">
        <v>606</v>
      </c>
      <c r="EB1" s="11" t="s">
        <v>607</v>
      </c>
      <c r="EC1" s="11" t="s">
        <v>608</v>
      </c>
      <c r="ED1" s="11" t="s">
        <v>609</v>
      </c>
      <c r="EE1" s="11" t="s">
        <v>610</v>
      </c>
      <c r="EF1" s="11" t="s">
        <v>611</v>
      </c>
      <c r="EG1" s="11" t="s">
        <v>612</v>
      </c>
      <c r="EH1" s="11" t="s">
        <v>613</v>
      </c>
      <c r="EI1" s="11" t="s">
        <v>614</v>
      </c>
      <c r="EJ1" s="11" t="s">
        <v>654</v>
      </c>
      <c r="EK1" s="11" t="s">
        <v>655</v>
      </c>
      <c r="EL1" s="11" t="s">
        <v>656</v>
      </c>
      <c r="EM1" s="11" t="s">
        <v>729</v>
      </c>
      <c r="EP1" s="11" t="s">
        <v>728</v>
      </c>
      <c r="ET1" s="11" t="s">
        <v>731</v>
      </c>
      <c r="EU1" s="11">
        <v>1</v>
      </c>
    </row>
    <row r="2" spans="1:151" x14ac:dyDescent="0.25">
      <c r="A2" s="11" t="str">
        <f>CONCATENATE('Ficha de desembarque'!$J$18,"_",'Ficha de desembarque'!$J$20,"_",DAY('Ficha de desembarque'!$J$16),MONTH('Ficha de desembarque'!$J$16),YEAR('Ficha de desembarque'!$J$16))</f>
        <v>__011900</v>
      </c>
      <c r="B2" s="11" t="str">
        <f>IF('Ficha de desembarque'!$A$18=0,"",UPPER('Ficha de desembarque'!$A$18))</f>
        <v/>
      </c>
      <c r="C2" s="11" t="str">
        <f>IF('Ficha de desembarque'!$J$18=0,"",UPPER('Ficha de desembarque'!$J$18))</f>
        <v/>
      </c>
      <c r="D2" s="11" t="str">
        <f>IF('Ficha de desembarque'!$J$20=0,"",'Ficha de desembarque'!$J$20)</f>
        <v/>
      </c>
      <c r="E2" s="11" t="str">
        <f>IF('Ficha de desembarque'!$A$20=0,"",'Ficha de desembarque'!$A$20)</f>
        <v/>
      </c>
      <c r="G2" s="11" t="str">
        <f ca="1">IF('Ficha de desembarque'!$A$22=0,"",'Ficha de desembarque'!$A$22)</f>
        <v/>
      </c>
      <c r="H2" s="39" t="str">
        <f>IF('Ficha de desembarque'!$A$16=0,"",'Ficha de desembarque'!$A$16)</f>
        <v/>
      </c>
      <c r="I2" s="39" t="str">
        <f>IF('Ficha de desembarque'!$J$16=0,"",'Ficha de desembarque'!$J$16)</f>
        <v/>
      </c>
      <c r="K2" s="40" t="str">
        <f>IF('Ficha de desembarque'!$A$28=0,"",'Ficha de desembarque'!$A$28)</f>
        <v/>
      </c>
      <c r="L2" s="11" t="e">
        <f>CONCATENATE(MONTH(I2),"/",YEAR(I2))</f>
        <v>#VALUE!</v>
      </c>
      <c r="M2" s="11" t="e">
        <f>I2-H2+1</f>
        <v>#VALUE!</v>
      </c>
      <c r="N2" s="11" t="str">
        <f>IF('Ficha de desembarque'!$J$28=0,"",'Ficha de desembarque'!$J$28)</f>
        <v/>
      </c>
      <c r="O2" s="11" t="str">
        <f>IF('Ficha de desembarque'!$A$30=0,"",'Ficha de desembarque'!$A$30)</f>
        <v/>
      </c>
      <c r="P2" s="11" t="str">
        <f>IF('Ficha de desembarque'!$J$30=0,"",'Ficha de desembarque'!$J$30)</f>
        <v/>
      </c>
      <c r="Q2" s="11" t="str">
        <f>IF('Ficha de desembarque'!$A$32=0,"",'Ficha de desembarque'!$A$32)</f>
        <v/>
      </c>
      <c r="R2" s="11" t="str">
        <f>IF('Ficha de desembarque'!$J$32=0,"",'Ficha de desembarque'!$J$32)</f>
        <v/>
      </c>
      <c r="S2" s="11" t="str">
        <f>IF('Ficha de desembarque'!$A$34=0,"",'Ficha de desembarque'!$A$34)</f>
        <v/>
      </c>
      <c r="T2" s="11" t="str">
        <f>IF('Ficha de desembarque'!$J$34=0,"",'Ficha de desembarque'!$J$34)</f>
        <v/>
      </c>
      <c r="U2" s="11" t="str">
        <f>IF('Ficha de desembarque'!$A$36=0,"",'Ficha de desembarque'!$A$36)</f>
        <v/>
      </c>
      <c r="V2" s="11" t="str">
        <f ca="1">IF(ISNUMBER(OFFSET($EP$1,IF(ISNUMBER(MATCH(V1,$EP$2:$EP$21,0)),MATCH(V1,$EP$2:$EP$21,0),""),1)),OFFSET($EP$1,IF(ISNUMBER(MATCH(V1,$EP$2:$EP$21,0)),MATCH(V1,$EP$2:$EP$21,0),""),1),"")</f>
        <v/>
      </c>
      <c r="W2" s="11" t="str">
        <f t="shared" ref="W2:AE2" ca="1" si="0">IF(ISNUMBER(OFFSET($EP$1,IF(ISNUMBER(MATCH(W1,$EP$2:$EP$21,0)),MATCH(W1,$EP$2:$EP$21,0),""),1)),OFFSET($EP$1,IF(ISNUMBER(MATCH(W1,$EP$2:$EP$21,0)),MATCH(W1,$EP$2:$EP$21,0),""),1),"")</f>
        <v/>
      </c>
      <c r="X2" s="11" t="str">
        <f t="shared" ca="1" si="0"/>
        <v/>
      </c>
      <c r="Y2" s="11" t="str">
        <f t="shared" ca="1" si="0"/>
        <v/>
      </c>
      <c r="Z2" s="11" t="str">
        <f t="shared" ca="1" si="0"/>
        <v/>
      </c>
      <c r="AA2" s="11" t="str">
        <f t="shared" ca="1" si="0"/>
        <v/>
      </c>
      <c r="AB2" s="11" t="str">
        <f t="shared" ca="1" si="0"/>
        <v/>
      </c>
      <c r="AC2" s="11" t="str">
        <f t="shared" ca="1" si="0"/>
        <v/>
      </c>
      <c r="AD2" s="11" t="str">
        <f t="shared" ca="1" si="0"/>
        <v/>
      </c>
      <c r="AE2" s="11" t="str">
        <f t="shared" ca="1" si="0"/>
        <v/>
      </c>
      <c r="AF2" s="11" t="str">
        <f t="shared" ref="AF2:BK2" ca="1" si="1">IF(ISNUMBER(OFFSET($EP$1,IF(ISNUMBER(MATCH(AF1,$EP$2:$EP$21,0)),MATCH(AF1,$EP$2:$EP$21,0),""),1)),OFFSET($EP$1,IF(ISNUMBER(MATCH(AF1,$EP$2:$EP$21,0)),MATCH(AF1,$EP$2:$EP$21,0),""),1),"")</f>
        <v/>
      </c>
      <c r="AG2" s="11" t="str">
        <f t="shared" ca="1" si="1"/>
        <v/>
      </c>
      <c r="AH2" s="11" t="str">
        <f t="shared" ca="1" si="1"/>
        <v/>
      </c>
      <c r="AI2" s="11" t="str">
        <f t="shared" ca="1" si="1"/>
        <v/>
      </c>
      <c r="AJ2" s="11" t="str">
        <f t="shared" ca="1" si="1"/>
        <v/>
      </c>
      <c r="AK2" s="11" t="str">
        <f t="shared" ca="1" si="1"/>
        <v/>
      </c>
      <c r="AL2" s="11" t="str">
        <f t="shared" ca="1" si="1"/>
        <v/>
      </c>
      <c r="AM2" s="11" t="str">
        <f t="shared" ca="1" si="1"/>
        <v/>
      </c>
      <c r="AN2" s="11" t="str">
        <f t="shared" ca="1" si="1"/>
        <v/>
      </c>
      <c r="AO2" s="11" t="str">
        <f t="shared" ca="1" si="1"/>
        <v/>
      </c>
      <c r="AP2" s="11" t="str">
        <f t="shared" ca="1" si="1"/>
        <v/>
      </c>
      <c r="AQ2" s="11" t="str">
        <f t="shared" ca="1" si="1"/>
        <v/>
      </c>
      <c r="AR2" s="11" t="str">
        <f t="shared" ca="1" si="1"/>
        <v/>
      </c>
      <c r="AS2" s="11" t="str">
        <f t="shared" ca="1" si="1"/>
        <v/>
      </c>
      <c r="AT2" s="11" t="str">
        <f t="shared" ca="1" si="1"/>
        <v/>
      </c>
      <c r="AU2" s="11" t="str">
        <f t="shared" ca="1" si="1"/>
        <v/>
      </c>
      <c r="AV2" s="11" t="str">
        <f t="shared" ca="1" si="1"/>
        <v/>
      </c>
      <c r="AW2" s="11" t="str">
        <f t="shared" ca="1" si="1"/>
        <v/>
      </c>
      <c r="AX2" s="11" t="str">
        <f t="shared" ca="1" si="1"/>
        <v/>
      </c>
      <c r="AY2" s="11" t="str">
        <f t="shared" ca="1" si="1"/>
        <v/>
      </c>
      <c r="AZ2" s="11" t="str">
        <f t="shared" ca="1" si="1"/>
        <v/>
      </c>
      <c r="BA2" s="11" t="str">
        <f t="shared" ca="1" si="1"/>
        <v/>
      </c>
      <c r="BB2" s="11" t="str">
        <f t="shared" ca="1" si="1"/>
        <v/>
      </c>
      <c r="BC2" s="11" t="str">
        <f t="shared" ca="1" si="1"/>
        <v/>
      </c>
      <c r="BD2" s="11" t="str">
        <f t="shared" ca="1" si="1"/>
        <v/>
      </c>
      <c r="BE2" s="11" t="str">
        <f t="shared" ca="1" si="1"/>
        <v/>
      </c>
      <c r="BF2" s="11" t="str">
        <f t="shared" ca="1" si="1"/>
        <v/>
      </c>
      <c r="BG2" s="11" t="str">
        <f t="shared" ca="1" si="1"/>
        <v/>
      </c>
      <c r="BH2" s="11" t="str">
        <f t="shared" ca="1" si="1"/>
        <v/>
      </c>
      <c r="BI2" s="11" t="str">
        <f t="shared" ca="1" si="1"/>
        <v/>
      </c>
      <c r="BJ2" s="11" t="str">
        <f t="shared" ca="1" si="1"/>
        <v/>
      </c>
      <c r="BK2" s="11" t="str">
        <f t="shared" ca="1" si="1"/>
        <v/>
      </c>
      <c r="BL2" s="11" t="str">
        <f t="shared" ref="BL2:CQ2" ca="1" si="2">IF(ISNUMBER(OFFSET($EP$1,IF(ISNUMBER(MATCH(BL1,$EP$2:$EP$21,0)),MATCH(BL1,$EP$2:$EP$21,0),""),1)),OFFSET($EP$1,IF(ISNUMBER(MATCH(BL1,$EP$2:$EP$21,0)),MATCH(BL1,$EP$2:$EP$21,0),""),1),"")</f>
        <v/>
      </c>
      <c r="BM2" s="11" t="str">
        <f t="shared" ca="1" si="2"/>
        <v/>
      </c>
      <c r="BN2" s="11" t="str">
        <f t="shared" ca="1" si="2"/>
        <v/>
      </c>
      <c r="BO2" s="11" t="str">
        <f t="shared" ca="1" si="2"/>
        <v/>
      </c>
      <c r="BP2" s="11" t="str">
        <f t="shared" ca="1" si="2"/>
        <v/>
      </c>
      <c r="BQ2" s="11" t="str">
        <f t="shared" ca="1" si="2"/>
        <v/>
      </c>
      <c r="BR2" s="11" t="str">
        <f t="shared" ca="1" si="2"/>
        <v/>
      </c>
      <c r="BS2" s="11" t="str">
        <f t="shared" ca="1" si="2"/>
        <v/>
      </c>
      <c r="BT2" s="11" t="str">
        <f t="shared" ca="1" si="2"/>
        <v/>
      </c>
      <c r="BU2" s="11" t="str">
        <f t="shared" ca="1" si="2"/>
        <v/>
      </c>
      <c r="BV2" s="11" t="str">
        <f t="shared" ca="1" si="2"/>
        <v/>
      </c>
      <c r="BW2" s="11" t="str">
        <f t="shared" ca="1" si="2"/>
        <v/>
      </c>
      <c r="BX2" s="11" t="str">
        <f t="shared" ca="1" si="2"/>
        <v/>
      </c>
      <c r="BY2" s="11" t="str">
        <f t="shared" ca="1" si="2"/>
        <v/>
      </c>
      <c r="BZ2" s="11" t="str">
        <f t="shared" ca="1" si="2"/>
        <v/>
      </c>
      <c r="CA2" s="11" t="str">
        <f t="shared" ca="1" si="2"/>
        <v/>
      </c>
      <c r="CB2" s="11" t="str">
        <f t="shared" ca="1" si="2"/>
        <v/>
      </c>
      <c r="CC2" s="11" t="str">
        <f t="shared" ca="1" si="2"/>
        <v/>
      </c>
      <c r="CD2" s="11" t="str">
        <f t="shared" ca="1" si="2"/>
        <v/>
      </c>
      <c r="CE2" s="11" t="str">
        <f t="shared" ca="1" si="2"/>
        <v/>
      </c>
      <c r="CF2" s="11" t="str">
        <f t="shared" ca="1" si="2"/>
        <v/>
      </c>
      <c r="CG2" s="11" t="str">
        <f t="shared" ca="1" si="2"/>
        <v/>
      </c>
      <c r="CH2" s="11" t="str">
        <f t="shared" ca="1" si="2"/>
        <v/>
      </c>
      <c r="CI2" s="11" t="str">
        <f t="shared" ca="1" si="2"/>
        <v/>
      </c>
      <c r="CJ2" s="11" t="str">
        <f t="shared" ca="1" si="2"/>
        <v/>
      </c>
      <c r="CK2" s="11" t="str">
        <f t="shared" ca="1" si="2"/>
        <v/>
      </c>
      <c r="CL2" s="11" t="str">
        <f t="shared" ca="1" si="2"/>
        <v/>
      </c>
      <c r="CM2" s="11" t="str">
        <f t="shared" ca="1" si="2"/>
        <v/>
      </c>
      <c r="CN2" s="11" t="str">
        <f t="shared" ca="1" si="2"/>
        <v/>
      </c>
      <c r="CO2" s="11" t="str">
        <f t="shared" ca="1" si="2"/>
        <v/>
      </c>
      <c r="CP2" s="11" t="str">
        <f t="shared" ca="1" si="2"/>
        <v/>
      </c>
      <c r="CQ2" s="11" t="str">
        <f t="shared" ca="1" si="2"/>
        <v/>
      </c>
      <c r="CR2" s="11" t="str">
        <f t="shared" ref="CR2:DW2" ca="1" si="3">IF(ISNUMBER(OFFSET($EP$1,IF(ISNUMBER(MATCH(CR1,$EP$2:$EP$21,0)),MATCH(CR1,$EP$2:$EP$21,0),""),1)),OFFSET($EP$1,IF(ISNUMBER(MATCH(CR1,$EP$2:$EP$21,0)),MATCH(CR1,$EP$2:$EP$21,0),""),1),"")</f>
        <v/>
      </c>
      <c r="CS2" s="11" t="str">
        <f t="shared" ca="1" si="3"/>
        <v/>
      </c>
      <c r="CT2" s="11" t="str">
        <f t="shared" ca="1" si="3"/>
        <v/>
      </c>
      <c r="CU2" s="11" t="str">
        <f t="shared" ca="1" si="3"/>
        <v/>
      </c>
      <c r="CV2" s="11" t="str">
        <f t="shared" ca="1" si="3"/>
        <v/>
      </c>
      <c r="CW2" s="11" t="str">
        <f t="shared" ca="1" si="3"/>
        <v/>
      </c>
      <c r="CX2" s="11" t="str">
        <f t="shared" ca="1" si="3"/>
        <v/>
      </c>
      <c r="CY2" s="11" t="str">
        <f t="shared" ca="1" si="3"/>
        <v/>
      </c>
      <c r="CZ2" s="11" t="str">
        <f t="shared" ca="1" si="3"/>
        <v/>
      </c>
      <c r="DA2" s="11" t="str">
        <f t="shared" ca="1" si="3"/>
        <v/>
      </c>
      <c r="DB2" s="11" t="str">
        <f t="shared" ca="1" si="3"/>
        <v/>
      </c>
      <c r="DC2" s="11" t="str">
        <f t="shared" ca="1" si="3"/>
        <v/>
      </c>
      <c r="DD2" s="11" t="str">
        <f t="shared" ca="1" si="3"/>
        <v/>
      </c>
      <c r="DE2" s="11" t="str">
        <f t="shared" ca="1" si="3"/>
        <v/>
      </c>
      <c r="DF2" s="11" t="str">
        <f t="shared" ca="1" si="3"/>
        <v/>
      </c>
      <c r="DG2" s="11" t="str">
        <f t="shared" ca="1" si="3"/>
        <v/>
      </c>
      <c r="DH2" s="11" t="str">
        <f t="shared" ca="1" si="3"/>
        <v/>
      </c>
      <c r="DI2" s="11" t="str">
        <f t="shared" ca="1" si="3"/>
        <v/>
      </c>
      <c r="DJ2" s="11" t="str">
        <f t="shared" ca="1" si="3"/>
        <v/>
      </c>
      <c r="DK2" s="11" t="str">
        <f t="shared" ca="1" si="3"/>
        <v/>
      </c>
      <c r="DL2" s="11" t="str">
        <f t="shared" ca="1" si="3"/>
        <v/>
      </c>
      <c r="DM2" s="11" t="str">
        <f t="shared" ca="1" si="3"/>
        <v/>
      </c>
      <c r="DN2" s="11" t="str">
        <f t="shared" ca="1" si="3"/>
        <v/>
      </c>
      <c r="DO2" s="11" t="str">
        <f t="shared" ca="1" si="3"/>
        <v/>
      </c>
      <c r="DP2" s="11" t="str">
        <f t="shared" ca="1" si="3"/>
        <v/>
      </c>
      <c r="DQ2" s="11" t="str">
        <f t="shared" ca="1" si="3"/>
        <v/>
      </c>
      <c r="DR2" s="11" t="str">
        <f t="shared" ca="1" si="3"/>
        <v/>
      </c>
      <c r="DS2" s="11" t="str">
        <f t="shared" ca="1" si="3"/>
        <v/>
      </c>
      <c r="DT2" s="11" t="str">
        <f t="shared" ca="1" si="3"/>
        <v/>
      </c>
      <c r="DU2" s="11" t="str">
        <f t="shared" ca="1" si="3"/>
        <v/>
      </c>
      <c r="DV2" s="11" t="str">
        <f t="shared" ca="1" si="3"/>
        <v/>
      </c>
      <c r="DW2" s="11" t="str">
        <f t="shared" ca="1" si="3"/>
        <v/>
      </c>
      <c r="DX2" s="11" t="str">
        <f t="shared" ref="DX2:EI2" ca="1" si="4">IF(ISNUMBER(OFFSET($EP$1,IF(ISNUMBER(MATCH(DX1,$EP$2:$EP$21,0)),MATCH(DX1,$EP$2:$EP$21,0),""),1)),OFFSET($EP$1,IF(ISNUMBER(MATCH(DX1,$EP$2:$EP$21,0)),MATCH(DX1,$EP$2:$EP$21,0),""),1),"")</f>
        <v/>
      </c>
      <c r="DY2" s="11" t="str">
        <f t="shared" ca="1" si="4"/>
        <v/>
      </c>
      <c r="DZ2" s="11" t="str">
        <f t="shared" ca="1" si="4"/>
        <v/>
      </c>
      <c r="EA2" s="11" t="str">
        <f t="shared" ca="1" si="4"/>
        <v/>
      </c>
      <c r="EB2" s="11" t="str">
        <f t="shared" ca="1" si="4"/>
        <v/>
      </c>
      <c r="EC2" s="11" t="str">
        <f t="shared" ca="1" si="4"/>
        <v/>
      </c>
      <c r="ED2" s="11" t="str">
        <f t="shared" ca="1" si="4"/>
        <v/>
      </c>
      <c r="EE2" s="11" t="str">
        <f t="shared" ca="1" si="4"/>
        <v/>
      </c>
      <c r="EF2" s="11" t="str">
        <f t="shared" ca="1" si="4"/>
        <v/>
      </c>
      <c r="EG2" s="11" t="str">
        <f t="shared" ca="1" si="4"/>
        <v/>
      </c>
      <c r="EH2" s="11" t="str">
        <f t="shared" ca="1" si="4"/>
        <v/>
      </c>
      <c r="EI2" s="11" t="str">
        <f t="shared" ca="1" si="4"/>
        <v/>
      </c>
      <c r="EJ2" s="41">
        <f>'Ficha de desembarque'!$J$59</f>
        <v>0</v>
      </c>
      <c r="EK2" s="11" t="s">
        <v>732</v>
      </c>
      <c r="EL2" s="11" t="str">
        <f>IF('Ficha de desembarque'!$A$12=0,"",'Ficha de desembarque'!$A$12)</f>
        <v/>
      </c>
      <c r="EM2" s="39">
        <f ca="1">'Ficha de desembarque'!$J$12</f>
        <v>44637</v>
      </c>
      <c r="EN2" s="39"/>
      <c r="EO2" s="11" t="str">
        <f>IF(ISNUMBER(MATCH(EP2,$V$1:$EI$1,0)),MATCH(EP2,$V$1:$EI$1,0),"")</f>
        <v/>
      </c>
      <c r="EP2" s="40" t="str">
        <f>IF(LEN('Ficha de desembarque'!A39)&gt;0,'Ficha de desembarque'!A39,"NA")</f>
        <v>NA</v>
      </c>
      <c r="EQ2" s="11" t="str">
        <f>IF(AND(LEN(EP2)&gt;0,ISNUMBER('Ficha de desembarque'!J39)),'Ficha de desembarque'!J39,"")</f>
        <v/>
      </c>
    </row>
    <row r="3" spans="1:151" x14ac:dyDescent="0.25">
      <c r="H3" s="39"/>
      <c r="I3" s="39"/>
      <c r="K3" s="39"/>
      <c r="EM3" s="39"/>
      <c r="EO3" s="11" t="str">
        <f t="shared" ref="EO3:EO21" si="5">IF(ISNUMBER(MATCH(EP3,$V$1:$EI$1,0)),MATCH(EP3,$V$1:$EI$1,0),"")</f>
        <v/>
      </c>
      <c r="EP3" s="40" t="str">
        <f>IF(LEN('Ficha de desembarque'!A40)&gt;0,'Ficha de desembarque'!A40,"NA")</f>
        <v>NA</v>
      </c>
      <c r="EQ3" s="11" t="str">
        <f>IF(AND(LEN(EP3)&gt;0,ISNUMBER('Ficha de desembarque'!J40)),'Ficha de desembarque'!J40,"")</f>
        <v/>
      </c>
      <c r="ER3" s="11">
        <f>IF(AND(LEN(EP3)&gt;0,COUNTIF($EP$2:EP3,EP3)&gt;1),1,"")</f>
        <v>1</v>
      </c>
    </row>
    <row r="4" spans="1:151" x14ac:dyDescent="0.25">
      <c r="H4" s="39"/>
      <c r="I4" s="39"/>
      <c r="K4" s="39"/>
      <c r="EM4" s="39"/>
      <c r="EO4" s="11" t="str">
        <f t="shared" si="5"/>
        <v/>
      </c>
      <c r="EP4" s="40" t="str">
        <f>IF(LEN('Ficha de desembarque'!A41)&gt;0,'Ficha de desembarque'!A41,"NA")</f>
        <v>NA</v>
      </c>
      <c r="EQ4" s="11" t="str">
        <f>IF(AND(LEN(EP4)&gt;0,ISNUMBER('Ficha de desembarque'!J41)),'Ficha de desembarque'!J41,"")</f>
        <v/>
      </c>
      <c r="ER4" s="11">
        <f>IF(AND(LEN(EP4)&gt;0,COUNTIF($EP$2:EP4,EP4)&gt;1),1,"")</f>
        <v>1</v>
      </c>
    </row>
    <row r="5" spans="1:151" x14ac:dyDescent="0.25">
      <c r="H5" s="39"/>
      <c r="I5" s="39"/>
      <c r="K5" s="39"/>
      <c r="EM5" s="39"/>
      <c r="EO5" s="11" t="str">
        <f t="shared" si="5"/>
        <v/>
      </c>
      <c r="EP5" s="40" t="str">
        <f>IF(LEN('Ficha de desembarque'!A42)&gt;0,'Ficha de desembarque'!A42,"NA")</f>
        <v>NA</v>
      </c>
      <c r="EQ5" s="11" t="str">
        <f>IF(AND(LEN(EP5)&gt;0,ISNUMBER('Ficha de desembarque'!J42)),'Ficha de desembarque'!J42,"")</f>
        <v/>
      </c>
      <c r="ER5" s="11">
        <f>IF(AND(LEN(EP5)&gt;0,COUNTIF($EP$2:EP5,EP5)&gt;1),1,"")</f>
        <v>1</v>
      </c>
    </row>
    <row r="6" spans="1:151" x14ac:dyDescent="0.25">
      <c r="H6" s="39"/>
      <c r="I6" s="39"/>
      <c r="K6" s="39"/>
      <c r="EM6" s="39"/>
      <c r="EO6" s="11" t="str">
        <f t="shared" si="5"/>
        <v/>
      </c>
      <c r="EP6" s="40" t="str">
        <f>IF(LEN('Ficha de desembarque'!A43)&gt;0,'Ficha de desembarque'!A43,"NA")</f>
        <v>NA</v>
      </c>
      <c r="EQ6" s="11" t="str">
        <f>IF(AND(LEN(EP6)&gt;0,ISNUMBER('Ficha de desembarque'!J43)),'Ficha de desembarque'!J43,"")</f>
        <v/>
      </c>
      <c r="ER6" s="11">
        <f>IF(AND(LEN(EP6)&gt;0,COUNTIF($EP$2:EP6,EP6)&gt;1),1,"")</f>
        <v>1</v>
      </c>
    </row>
    <row r="7" spans="1:151" x14ac:dyDescent="0.25">
      <c r="H7" s="39"/>
      <c r="I7" s="39"/>
      <c r="K7" s="39"/>
      <c r="EM7" s="39"/>
      <c r="EO7" s="11" t="str">
        <f t="shared" si="5"/>
        <v/>
      </c>
      <c r="EP7" s="40" t="str">
        <f>IF(LEN('Ficha de desembarque'!A44)&gt;0,'Ficha de desembarque'!A44,"NA")</f>
        <v>NA</v>
      </c>
      <c r="EQ7" s="11" t="str">
        <f>IF(AND(LEN(EP7)&gt;0,ISNUMBER('Ficha de desembarque'!J44)),'Ficha de desembarque'!J44,"")</f>
        <v/>
      </c>
      <c r="ER7" s="11">
        <f>IF(AND(LEN(EP7)&gt;0,COUNTIF($EP$2:EP7,EP7)&gt;1),1,"")</f>
        <v>1</v>
      </c>
    </row>
    <row r="8" spans="1:151" x14ac:dyDescent="0.25">
      <c r="H8" s="39"/>
      <c r="I8" s="39"/>
      <c r="K8" s="39"/>
      <c r="EM8" s="39"/>
      <c r="EO8" s="11" t="str">
        <f t="shared" si="5"/>
        <v/>
      </c>
      <c r="EP8" s="40" t="str">
        <f>IF(LEN('Ficha de desembarque'!A45)&gt;0,'Ficha de desembarque'!A45,"NA")</f>
        <v>NA</v>
      </c>
      <c r="EQ8" s="11" t="str">
        <f>IF(AND(LEN(EP8)&gt;0,ISNUMBER('Ficha de desembarque'!J45)),'Ficha de desembarque'!J45,"")</f>
        <v/>
      </c>
      <c r="ER8" s="11">
        <f>IF(AND(LEN(EP8)&gt;0,COUNTIF($EP$2:EP8,EP8)&gt;1),1,"")</f>
        <v>1</v>
      </c>
    </row>
    <row r="9" spans="1:151" x14ac:dyDescent="0.25">
      <c r="H9" s="39"/>
      <c r="I9" s="39"/>
      <c r="K9" s="39"/>
      <c r="EM9" s="39"/>
      <c r="EO9" s="11" t="str">
        <f t="shared" si="5"/>
        <v/>
      </c>
      <c r="EP9" s="40" t="str">
        <f>IF(LEN('Ficha de desembarque'!A46)&gt;0,'Ficha de desembarque'!A46,"NA")</f>
        <v>NA</v>
      </c>
      <c r="EQ9" s="11" t="str">
        <f>IF(AND(LEN(EP9)&gt;0,ISNUMBER('Ficha de desembarque'!J46)),'Ficha de desembarque'!J46,"")</f>
        <v/>
      </c>
      <c r="ER9" s="11">
        <f>IF(AND(LEN(EP9)&gt;0,COUNTIF($EP$2:EP9,EP9)&gt;1),1,"")</f>
        <v>1</v>
      </c>
    </row>
    <row r="10" spans="1:151" x14ac:dyDescent="0.25">
      <c r="H10" s="39"/>
      <c r="I10" s="39"/>
      <c r="K10" s="39"/>
      <c r="EM10" s="39"/>
      <c r="EO10" s="11" t="str">
        <f t="shared" si="5"/>
        <v/>
      </c>
      <c r="EP10" s="40" t="str">
        <f>IF(LEN('Ficha de desembarque'!A47)&gt;0,'Ficha de desembarque'!A47,"NA")</f>
        <v>NA</v>
      </c>
      <c r="EQ10" s="11" t="str">
        <f>IF(AND(LEN(EP10)&gt;0,ISNUMBER('Ficha de desembarque'!J47)),'Ficha de desembarque'!J47,"")</f>
        <v/>
      </c>
      <c r="ER10" s="11">
        <f>IF(AND(LEN(EP10)&gt;0,COUNTIF($EP$2:EP10,EP10)&gt;1),1,"")</f>
        <v>1</v>
      </c>
    </row>
    <row r="11" spans="1:151" x14ac:dyDescent="0.25">
      <c r="H11" s="39"/>
      <c r="I11" s="39"/>
      <c r="K11" s="39"/>
      <c r="EM11" s="39"/>
      <c r="EO11" s="11" t="str">
        <f t="shared" si="5"/>
        <v/>
      </c>
      <c r="EP11" s="40" t="str">
        <f>IF(LEN('Ficha de desembarque'!A48)&gt;0,'Ficha de desembarque'!A48,"NA")</f>
        <v>NA</v>
      </c>
      <c r="EQ11" s="11" t="str">
        <f>IF(AND(LEN(EP11)&gt;0,ISNUMBER('Ficha de desembarque'!J48)),'Ficha de desembarque'!J48,"")</f>
        <v/>
      </c>
      <c r="ER11" s="11">
        <f>IF(AND(LEN(EP11)&gt;0,COUNTIF($EP$2:EP11,EP11)&gt;1),1,"")</f>
        <v>1</v>
      </c>
    </row>
    <row r="12" spans="1:151" x14ac:dyDescent="0.25">
      <c r="H12" s="39"/>
      <c r="I12" s="39"/>
      <c r="K12" s="39"/>
      <c r="EM12" s="39"/>
      <c r="EO12" s="11" t="str">
        <f t="shared" si="5"/>
        <v/>
      </c>
      <c r="EP12" s="40" t="str">
        <f>IF(LEN('Ficha de desembarque'!A49)&gt;0,'Ficha de desembarque'!A49,"NA")</f>
        <v>NA</v>
      </c>
      <c r="EQ12" s="11" t="str">
        <f>IF(AND(LEN(EP12)&gt;0,ISNUMBER('Ficha de desembarque'!J49)),'Ficha de desembarque'!J49,"")</f>
        <v/>
      </c>
      <c r="ER12" s="11">
        <f>IF(AND(LEN(EP12)&gt;0,COUNTIF($EP$2:EP12,EP12)&gt;1),1,"")</f>
        <v>1</v>
      </c>
    </row>
    <row r="13" spans="1:151" x14ac:dyDescent="0.25">
      <c r="H13" s="39"/>
      <c r="I13" s="39"/>
      <c r="K13" s="39"/>
      <c r="EM13" s="39"/>
      <c r="EO13" s="11" t="str">
        <f t="shared" si="5"/>
        <v/>
      </c>
      <c r="EP13" s="40" t="str">
        <f>IF(LEN('Ficha de desembarque'!A50)&gt;0,'Ficha de desembarque'!A50,"NA")</f>
        <v>NA</v>
      </c>
      <c r="EQ13" s="11" t="str">
        <f>IF(AND(LEN(EP13)&gt;0,ISNUMBER('Ficha de desembarque'!J50)),'Ficha de desembarque'!J50,"")</f>
        <v/>
      </c>
      <c r="ER13" s="11">
        <f>IF(AND(LEN(EP13)&gt;0,COUNTIF($EP$2:EP13,EP13)&gt;1),1,"")</f>
        <v>1</v>
      </c>
    </row>
    <row r="14" spans="1:151" x14ac:dyDescent="0.25">
      <c r="H14" s="39"/>
      <c r="I14" s="39"/>
      <c r="K14" s="39"/>
      <c r="EM14" s="39"/>
      <c r="EO14" s="11" t="str">
        <f t="shared" si="5"/>
        <v/>
      </c>
      <c r="EP14" s="40" t="str">
        <f>IF(LEN('Ficha de desembarque'!A51)&gt;0,'Ficha de desembarque'!A51,"NA")</f>
        <v>NA</v>
      </c>
      <c r="EQ14" s="11" t="str">
        <f>IF(AND(LEN(EP14)&gt;0,ISNUMBER('Ficha de desembarque'!J51)),'Ficha de desembarque'!J51,"")</f>
        <v/>
      </c>
      <c r="ER14" s="11">
        <f>IF(AND(LEN(EP14)&gt;0,COUNTIF($EP$2:EP14,EP14)&gt;1),1,"")</f>
        <v>1</v>
      </c>
    </row>
    <row r="15" spans="1:151" x14ac:dyDescent="0.25">
      <c r="H15" s="39"/>
      <c r="I15" s="39"/>
      <c r="K15" s="39"/>
      <c r="EM15" s="39"/>
      <c r="EO15" s="11" t="str">
        <f t="shared" si="5"/>
        <v/>
      </c>
      <c r="EP15" s="40" t="str">
        <f>IF(LEN('Ficha de desembarque'!A52)&gt;0,'Ficha de desembarque'!A52,"NA")</f>
        <v>NA</v>
      </c>
      <c r="EQ15" s="11" t="str">
        <f>IF(AND(LEN(EP15)&gt;0,ISNUMBER('Ficha de desembarque'!J52)),'Ficha de desembarque'!J52,"")</f>
        <v/>
      </c>
      <c r="ER15" s="11">
        <f>IF(AND(LEN(EP15)&gt;0,COUNTIF($EP$2:EP15,EP15)&gt;1),1,"")</f>
        <v>1</v>
      </c>
    </row>
    <row r="16" spans="1:151" x14ac:dyDescent="0.25">
      <c r="H16" s="39"/>
      <c r="I16" s="39"/>
      <c r="K16" s="39"/>
      <c r="EM16" s="39"/>
      <c r="EO16" s="11" t="str">
        <f t="shared" si="5"/>
        <v/>
      </c>
      <c r="EP16" s="40" t="str">
        <f>IF(LEN('Ficha de desembarque'!A53)&gt;0,'Ficha de desembarque'!A53,"NA")</f>
        <v>NA</v>
      </c>
      <c r="EQ16" s="11" t="str">
        <f>IF(AND(LEN(EP16)&gt;0,ISNUMBER('Ficha de desembarque'!J53)),'Ficha de desembarque'!J53,"")</f>
        <v/>
      </c>
      <c r="ER16" s="11">
        <f>IF(AND(LEN(EP16)&gt;0,COUNTIF($EP$2:EP16,EP16)&gt;1),1,"")</f>
        <v>1</v>
      </c>
    </row>
    <row r="17" spans="8:148" x14ac:dyDescent="0.25">
      <c r="H17" s="39"/>
      <c r="I17" s="39"/>
      <c r="K17" s="39"/>
      <c r="EM17" s="39"/>
      <c r="EO17" s="11" t="str">
        <f t="shared" si="5"/>
        <v/>
      </c>
      <c r="EP17" s="40" t="str">
        <f>IF(LEN('Ficha de desembarque'!A54)&gt;0,'Ficha de desembarque'!A54,"NA")</f>
        <v>NA</v>
      </c>
      <c r="EQ17" s="11" t="str">
        <f>IF(AND(LEN(EP17)&gt;0,ISNUMBER('Ficha de desembarque'!J54)),'Ficha de desembarque'!J54,"")</f>
        <v/>
      </c>
      <c r="ER17" s="11">
        <f>IF(AND(LEN(EP17)&gt;0,COUNTIF($EP$2:EP17,EP17)&gt;1),1,"")</f>
        <v>1</v>
      </c>
    </row>
    <row r="18" spans="8:148" x14ac:dyDescent="0.25">
      <c r="EO18" s="11" t="str">
        <f t="shared" si="5"/>
        <v/>
      </c>
      <c r="EP18" s="40" t="str">
        <f>IF(LEN('Ficha de desembarque'!A55)&gt;0,'Ficha de desembarque'!A55,"NA")</f>
        <v>NA</v>
      </c>
      <c r="EQ18" s="11" t="str">
        <f>IF(AND(LEN(EP18)&gt;0,ISNUMBER('Ficha de desembarque'!J55)),'Ficha de desembarque'!J55,"")</f>
        <v/>
      </c>
      <c r="ER18" s="11">
        <f>IF(AND(LEN(EP18)&gt;0,COUNTIF($EP$2:EP18,EP18)&gt;1),1,"")</f>
        <v>1</v>
      </c>
    </row>
    <row r="19" spans="8:148" x14ac:dyDescent="0.25">
      <c r="EO19" s="11" t="str">
        <f t="shared" si="5"/>
        <v/>
      </c>
      <c r="EP19" s="40" t="str">
        <f>IF(LEN('Ficha de desembarque'!A56)&gt;0,'Ficha de desembarque'!A56,"NA")</f>
        <v>NA</v>
      </c>
      <c r="EQ19" s="11" t="str">
        <f>IF(AND(LEN(EP19)&gt;0,ISNUMBER('Ficha de desembarque'!J56)),'Ficha de desembarque'!J56,"")</f>
        <v/>
      </c>
      <c r="ER19" s="11">
        <f>IF(AND(LEN(EP19)&gt;0,COUNTIF($EP$2:EP19,EP19)&gt;1),1,"")</f>
        <v>1</v>
      </c>
    </row>
    <row r="20" spans="8:148" x14ac:dyDescent="0.25">
      <c r="EO20" s="11" t="str">
        <f t="shared" si="5"/>
        <v/>
      </c>
      <c r="EP20" s="40" t="str">
        <f>IF(LEN('Ficha de desembarque'!A57)&gt;0,'Ficha de desembarque'!A57,"NA")</f>
        <v>NA</v>
      </c>
      <c r="EQ20" s="11" t="str">
        <f>IF(AND(LEN(EP20)&gt;0,ISNUMBER('Ficha de desembarque'!J57)),'Ficha de desembarque'!J57,"")</f>
        <v/>
      </c>
      <c r="ER20" s="11">
        <f>IF(AND(LEN(EP20)&gt;0,COUNTIF($EP$2:EP20,EP20)&gt;1),1,"")</f>
        <v>1</v>
      </c>
    </row>
    <row r="21" spans="8:148" x14ac:dyDescent="0.25">
      <c r="EO21" s="11" t="str">
        <f t="shared" si="5"/>
        <v/>
      </c>
      <c r="EP21" s="40" t="str">
        <f>IF(LEN('Ficha de desembarque'!A58)&gt;0,'Ficha de desembarque'!A58,"NA")</f>
        <v>NA</v>
      </c>
      <c r="EQ21" s="11" t="str">
        <f>IF(AND(LEN(EP21)&gt;0,ISNUMBER('Ficha de desembarque'!J58)),'Ficha de desembarque'!J58,"")</f>
        <v/>
      </c>
      <c r="ER21" s="11">
        <f>IF(AND(LEN(EP21)&gt;0,COUNTIF($EP$2:EP21,EP21)&gt;1),1,"")</f>
        <v>1</v>
      </c>
    </row>
    <row r="22" spans="8:148" x14ac:dyDescent="0.25">
      <c r="ER22" s="11">
        <f>SUM(ER2:ER21)</f>
        <v>19</v>
      </c>
    </row>
  </sheetData>
  <sheetProtection selectLockedCells="1"/>
  <conditionalFormatting sqref="ER22">
    <cfRule type="cellIs" priority="1" stopIfTrue="1" operator="greaterThan">
      <formula>0</formula>
    </cfRule>
    <cfRule type="cellIs" priority="2" stopIfTrue="1" operator="greaterThan">
      <formula>0</formula>
    </cfRule>
  </conditionalFormatting>
  <dataValidations disablePrompts="1" count="2">
    <dataValidation type="whole" operator="greaterThan" allowBlank="1" showInputMessage="1" showErrorMessage="1" sqref="ER3:ER5 ER7:ER21" xr:uid="{0E272161-C839-4CBE-86CE-35A90850E991}">
      <formula1>0</formula1>
    </dataValidation>
    <dataValidation operator="greaterThan" allowBlank="1" showInputMessage="1" showErrorMessage="1" sqref="ER6" xr:uid="{A0CADFC6-5AE6-41FA-956A-1A4B473A5660}"/>
  </dataValidation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5FAB1-D7E0-47DB-9965-77E1371DB35D}">
  <sheetPr codeName="Planilha9"/>
  <dimension ref="A1:BC359"/>
  <sheetViews>
    <sheetView showGridLines="0" showRowColHeaders="0" topLeftCell="AM1" zoomScale="117" zoomScaleNormal="117" workbookViewId="0">
      <selection activeCell="AM2" sqref="AM2"/>
    </sheetView>
  </sheetViews>
  <sheetFormatPr defaultRowHeight="15" x14ac:dyDescent="0.25"/>
  <cols>
    <col min="1" max="1" width="9.140625" style="5"/>
    <col min="2" max="2" width="22" style="5" bestFit="1" customWidth="1"/>
    <col min="3" max="3" width="16.5703125" style="5" bestFit="1" customWidth="1"/>
    <col min="4" max="4" width="22" style="5" customWidth="1"/>
    <col min="5" max="5" width="9.140625" style="5"/>
    <col min="6" max="6" width="23.28515625" style="5" bestFit="1" customWidth="1"/>
    <col min="7" max="9" width="9.140625" style="5"/>
    <col min="10" max="10" width="24.42578125" style="5" bestFit="1" customWidth="1"/>
    <col min="11" max="12" width="9.140625" style="5"/>
    <col min="13" max="13" width="10.28515625" style="5" bestFit="1" customWidth="1"/>
    <col min="14" max="14" width="26.28515625" style="5" bestFit="1" customWidth="1"/>
    <col min="15" max="30" width="9.140625" style="5"/>
    <col min="31" max="31" width="19.42578125" style="5" bestFit="1" customWidth="1"/>
    <col min="32" max="33" width="9.140625" style="5"/>
    <col min="34" max="34" width="10.42578125" style="5" bestFit="1" customWidth="1"/>
    <col min="35" max="35" width="19" style="5" bestFit="1" customWidth="1"/>
    <col min="36" max="36" width="12.42578125" style="5" customWidth="1"/>
    <col min="37" max="42" width="9.140625" style="5"/>
    <col min="43" max="43" width="10" style="5" bestFit="1" customWidth="1"/>
    <col min="44" max="48" width="9.140625" style="5"/>
    <col min="49" max="49" width="19.85546875" style="5" bestFit="1" customWidth="1"/>
    <col min="50" max="50" width="17" style="5" bestFit="1" customWidth="1"/>
    <col min="51" max="51" width="22.85546875" style="5" bestFit="1" customWidth="1"/>
    <col min="52" max="52" width="15.140625" style="5" bestFit="1" customWidth="1"/>
    <col min="53" max="53" width="9.85546875" style="5" bestFit="1" customWidth="1"/>
    <col min="54" max="16384" width="9.140625" style="5"/>
  </cols>
  <sheetData>
    <row r="1" spans="1:55" x14ac:dyDescent="0.25">
      <c r="A1" s="5" t="s">
        <v>756</v>
      </c>
      <c r="B1" s="5" t="s">
        <v>5</v>
      </c>
      <c r="C1" s="5">
        <f>COUNTA(B2:B1000)</f>
        <v>8</v>
      </c>
      <c r="E1" s="5" t="s">
        <v>16</v>
      </c>
      <c r="F1" s="5" t="s">
        <v>17</v>
      </c>
      <c r="G1" s="5">
        <f>COUNTA(F2:F1000)</f>
        <v>146</v>
      </c>
      <c r="I1" s="5" t="s">
        <v>170</v>
      </c>
      <c r="J1" s="5" t="s">
        <v>171</v>
      </c>
      <c r="K1" s="5">
        <f>COUNTA(J2:J1000)</f>
        <v>358</v>
      </c>
      <c r="M1" s="5" t="s">
        <v>486</v>
      </c>
      <c r="N1" s="5" t="s">
        <v>487</v>
      </c>
      <c r="O1" s="5">
        <f>COUNTA(N2:N1000)</f>
        <v>37</v>
      </c>
      <c r="Q1" s="5" t="s">
        <v>493</v>
      </c>
      <c r="R1" s="5" t="s">
        <v>494</v>
      </c>
      <c r="S1" s="5">
        <f>COUNTA(R2:R1000)</f>
        <v>3</v>
      </c>
      <c r="U1" s="5" t="s">
        <v>495</v>
      </c>
      <c r="V1" s="5" t="s">
        <v>496</v>
      </c>
      <c r="W1" s="5">
        <f>COUNTA(V2:V1000)</f>
        <v>3</v>
      </c>
      <c r="Y1" s="5" t="s">
        <v>739</v>
      </c>
      <c r="Z1" s="5" t="s">
        <v>733</v>
      </c>
      <c r="AB1" s="5">
        <f>COUNTA(AA2:AA446)</f>
        <v>4</v>
      </c>
      <c r="AD1" s="5" t="s">
        <v>727</v>
      </c>
      <c r="AE1" s="5" t="s">
        <v>646</v>
      </c>
      <c r="AF1" s="5">
        <f>COUNTA(AE2:AE1000)</f>
        <v>61</v>
      </c>
      <c r="AH1" s="5" t="s">
        <v>497</v>
      </c>
      <c r="AI1" s="5" t="s">
        <v>498</v>
      </c>
      <c r="AJ1" s="6" t="s">
        <v>757</v>
      </c>
      <c r="AK1" s="5" t="s">
        <v>758</v>
      </c>
      <c r="AL1" s="5" t="s">
        <v>498</v>
      </c>
      <c r="AM1" s="5">
        <f>COUNTA(AI2:AI1000)</f>
        <v>114</v>
      </c>
      <c r="AP1" s="5" t="s">
        <v>759</v>
      </c>
      <c r="AQ1" s="5" t="s">
        <v>760</v>
      </c>
      <c r="AR1" s="5" t="s">
        <v>761</v>
      </c>
      <c r="AS1" s="5" t="s">
        <v>762</v>
      </c>
      <c r="AT1" s="5">
        <f>COUNTA(AQ2:AQ1048576)</f>
        <v>0</v>
      </c>
      <c r="AW1" s="5" t="s">
        <v>763</v>
      </c>
      <c r="AX1" s="5" t="s">
        <v>764</v>
      </c>
      <c r="AY1" s="5" t="s">
        <v>768</v>
      </c>
      <c r="AZ1" s="5" t="s">
        <v>765</v>
      </c>
      <c r="BA1" s="5" t="s">
        <v>766</v>
      </c>
      <c r="BB1" s="5" t="s">
        <v>767</v>
      </c>
      <c r="BC1" s="5">
        <f>COUNTA(AX2:AX10000)</f>
        <v>0</v>
      </c>
    </row>
    <row r="2" spans="1:55" x14ac:dyDescent="0.25">
      <c r="A2" s="5">
        <v>1</v>
      </c>
      <c r="B2" s="5" t="s">
        <v>166</v>
      </c>
      <c r="E2" s="5">
        <v>1</v>
      </c>
      <c r="F2" s="5" t="s">
        <v>129</v>
      </c>
      <c r="I2" s="5">
        <v>1</v>
      </c>
      <c r="J2" s="5" t="s">
        <v>228</v>
      </c>
      <c r="M2" s="5">
        <v>1</v>
      </c>
      <c r="N2" s="5" t="s">
        <v>488</v>
      </c>
      <c r="Q2" s="5">
        <v>1</v>
      </c>
      <c r="R2" s="5" t="s">
        <v>801</v>
      </c>
      <c r="U2" s="5">
        <v>1</v>
      </c>
      <c r="V2" s="5" t="s">
        <v>804</v>
      </c>
      <c r="Y2" s="5">
        <v>1</v>
      </c>
      <c r="Z2" s="5" t="s">
        <v>807</v>
      </c>
      <c r="AA2" s="5" t="s">
        <v>740</v>
      </c>
      <c r="AD2" s="5">
        <v>1</v>
      </c>
      <c r="AE2" s="5" t="s">
        <v>666</v>
      </c>
      <c r="AH2" s="5">
        <v>1</v>
      </c>
      <c r="AI2" s="5" t="s">
        <v>499</v>
      </c>
      <c r="AJ2" s="6"/>
      <c r="AR2" s="6"/>
    </row>
    <row r="3" spans="1:55" x14ac:dyDescent="0.25">
      <c r="A3" s="5">
        <v>2</v>
      </c>
      <c r="B3" s="5" t="s">
        <v>167</v>
      </c>
      <c r="E3" s="5">
        <v>2</v>
      </c>
      <c r="F3" s="5" t="s">
        <v>61</v>
      </c>
      <c r="I3" s="5">
        <v>2</v>
      </c>
      <c r="J3" s="5" t="s">
        <v>229</v>
      </c>
      <c r="M3" s="5">
        <v>2</v>
      </c>
      <c r="N3" s="5" t="s">
        <v>769</v>
      </c>
      <c r="Q3" s="5">
        <v>2</v>
      </c>
      <c r="R3" s="5" t="s">
        <v>802</v>
      </c>
      <c r="U3" s="5">
        <v>2</v>
      </c>
      <c r="V3" s="5" t="s">
        <v>805</v>
      </c>
      <c r="Y3" s="5">
        <v>2</v>
      </c>
      <c r="Z3" s="5" t="s">
        <v>816</v>
      </c>
      <c r="AA3" s="7" t="s">
        <v>741</v>
      </c>
      <c r="AD3" s="5">
        <v>2</v>
      </c>
      <c r="AE3" s="5" t="s">
        <v>667</v>
      </c>
      <c r="AH3" s="5">
        <v>2</v>
      </c>
      <c r="AI3" s="5" t="s">
        <v>500</v>
      </c>
      <c r="AJ3" s="6"/>
      <c r="AR3" s="6"/>
    </row>
    <row r="4" spans="1:55" x14ac:dyDescent="0.25">
      <c r="A4" s="5">
        <v>3</v>
      </c>
      <c r="B4" s="5" t="s">
        <v>813</v>
      </c>
      <c r="E4" s="5">
        <v>3</v>
      </c>
      <c r="F4" s="5" t="s">
        <v>81</v>
      </c>
      <c r="I4" s="5">
        <v>3</v>
      </c>
      <c r="J4" s="5" t="s">
        <v>61</v>
      </c>
      <c r="M4" s="5">
        <v>3</v>
      </c>
      <c r="N4" s="5" t="s">
        <v>770</v>
      </c>
      <c r="Q4" s="5">
        <v>3</v>
      </c>
      <c r="R4" s="5" t="s">
        <v>803</v>
      </c>
      <c r="U4" s="5">
        <v>3</v>
      </c>
      <c r="V4" s="5" t="s">
        <v>806</v>
      </c>
      <c r="Y4" s="5">
        <v>3</v>
      </c>
      <c r="Z4" s="5" t="s">
        <v>808</v>
      </c>
      <c r="AA4" s="5" t="s">
        <v>742</v>
      </c>
      <c r="AD4" s="5">
        <v>3</v>
      </c>
      <c r="AE4" s="5" t="s">
        <v>668</v>
      </c>
      <c r="AH4" s="5">
        <v>3</v>
      </c>
      <c r="AI4" s="5" t="s">
        <v>501</v>
      </c>
      <c r="AJ4" s="6"/>
      <c r="AR4" s="6"/>
    </row>
    <row r="5" spans="1:55" x14ac:dyDescent="0.25">
      <c r="A5" s="5">
        <v>4</v>
      </c>
      <c r="B5" s="5" t="s">
        <v>814</v>
      </c>
      <c r="E5" s="5">
        <v>4</v>
      </c>
      <c r="F5" s="5" t="s">
        <v>28</v>
      </c>
      <c r="I5" s="5">
        <v>4</v>
      </c>
      <c r="J5" s="5" t="s">
        <v>230</v>
      </c>
      <c r="M5" s="5">
        <v>4</v>
      </c>
      <c r="N5" s="5" t="s">
        <v>771</v>
      </c>
      <c r="Y5" s="5">
        <v>4</v>
      </c>
      <c r="Z5" s="5" t="s">
        <v>809</v>
      </c>
      <c r="AA5" s="5" t="s">
        <v>743</v>
      </c>
      <c r="AD5" s="5">
        <v>4</v>
      </c>
      <c r="AE5" s="5" t="s">
        <v>669</v>
      </c>
      <c r="AH5" s="5">
        <v>4</v>
      </c>
      <c r="AI5" s="5" t="s">
        <v>502</v>
      </c>
      <c r="AJ5" s="6"/>
      <c r="AR5" s="6"/>
    </row>
    <row r="6" spans="1:55" x14ac:dyDescent="0.25">
      <c r="A6" s="5">
        <v>5</v>
      </c>
      <c r="B6" s="5" t="s">
        <v>812</v>
      </c>
      <c r="E6" s="5">
        <v>5</v>
      </c>
      <c r="F6" s="5" t="s">
        <v>62</v>
      </c>
      <c r="I6" s="5">
        <v>5</v>
      </c>
      <c r="J6" s="5" t="s">
        <v>231</v>
      </c>
      <c r="M6" s="5">
        <v>5</v>
      </c>
      <c r="N6" s="5" t="s">
        <v>772</v>
      </c>
      <c r="AD6" s="5">
        <v>5</v>
      </c>
      <c r="AE6" s="5" t="s">
        <v>670</v>
      </c>
      <c r="AH6" s="5">
        <v>5</v>
      </c>
      <c r="AI6" s="5" t="s">
        <v>503</v>
      </c>
      <c r="AJ6" s="6"/>
      <c r="AR6" s="6"/>
    </row>
    <row r="7" spans="1:55" x14ac:dyDescent="0.25">
      <c r="A7" s="5">
        <v>6</v>
      </c>
      <c r="B7" s="5" t="s">
        <v>815</v>
      </c>
      <c r="E7" s="5">
        <v>6</v>
      </c>
      <c r="F7" s="5" t="s">
        <v>82</v>
      </c>
      <c r="I7" s="5">
        <v>6</v>
      </c>
      <c r="J7" s="5" t="s">
        <v>232</v>
      </c>
      <c r="M7" s="5">
        <v>6</v>
      </c>
      <c r="N7" s="5" t="s">
        <v>773</v>
      </c>
      <c r="AD7" s="5">
        <v>6</v>
      </c>
      <c r="AE7" s="5" t="s">
        <v>671</v>
      </c>
      <c r="AH7" s="5">
        <v>6</v>
      </c>
      <c r="AI7" s="5" t="s">
        <v>504</v>
      </c>
      <c r="AJ7" s="6"/>
      <c r="AR7" s="6"/>
    </row>
    <row r="8" spans="1:55" x14ac:dyDescent="0.25">
      <c r="A8" s="5">
        <v>7</v>
      </c>
      <c r="B8" s="5" t="s">
        <v>168</v>
      </c>
      <c r="E8" s="5">
        <v>7</v>
      </c>
      <c r="F8" s="5" t="s">
        <v>63</v>
      </c>
      <c r="I8" s="5">
        <v>7</v>
      </c>
      <c r="J8" s="5" t="s">
        <v>233</v>
      </c>
      <c r="M8" s="5">
        <v>7</v>
      </c>
      <c r="N8" s="5" t="s">
        <v>774</v>
      </c>
      <c r="AD8" s="5">
        <v>7</v>
      </c>
      <c r="AE8" s="5" t="s">
        <v>672</v>
      </c>
      <c r="AH8" s="5">
        <v>7</v>
      </c>
      <c r="AI8" s="5" t="s">
        <v>505</v>
      </c>
      <c r="AJ8" s="6"/>
      <c r="AR8" s="6"/>
    </row>
    <row r="9" spans="1:55" x14ac:dyDescent="0.25">
      <c r="A9" s="5">
        <v>9</v>
      </c>
      <c r="B9" s="5" t="s">
        <v>169</v>
      </c>
      <c r="E9" s="5">
        <v>8</v>
      </c>
      <c r="F9" s="5" t="s">
        <v>64</v>
      </c>
      <c r="I9" s="5">
        <v>8</v>
      </c>
      <c r="J9" s="5" t="s">
        <v>234</v>
      </c>
      <c r="M9" s="5">
        <v>8</v>
      </c>
      <c r="N9" s="5" t="s">
        <v>775</v>
      </c>
      <c r="AD9" s="5">
        <v>8</v>
      </c>
      <c r="AE9" s="5" t="s">
        <v>673</v>
      </c>
      <c r="AH9" s="5">
        <v>8</v>
      </c>
      <c r="AI9" s="5" t="s">
        <v>506</v>
      </c>
      <c r="AJ9" s="6"/>
      <c r="AR9" s="6"/>
    </row>
    <row r="10" spans="1:55" x14ac:dyDescent="0.25">
      <c r="E10" s="5">
        <v>9</v>
      </c>
      <c r="F10" s="5" t="s">
        <v>83</v>
      </c>
      <c r="I10" s="5">
        <v>9</v>
      </c>
      <c r="J10" s="5" t="s">
        <v>235</v>
      </c>
      <c r="M10" s="5">
        <v>9</v>
      </c>
      <c r="N10" s="5" t="s">
        <v>489</v>
      </c>
      <c r="AD10" s="5">
        <v>9</v>
      </c>
      <c r="AE10" s="5" t="s">
        <v>674</v>
      </c>
      <c r="AH10" s="5">
        <v>9</v>
      </c>
      <c r="AI10" s="5" t="s">
        <v>507</v>
      </c>
      <c r="AJ10" s="6"/>
      <c r="AR10" s="6"/>
    </row>
    <row r="11" spans="1:55" x14ac:dyDescent="0.25">
      <c r="E11" s="5">
        <v>10</v>
      </c>
      <c r="F11" s="5" t="s">
        <v>143</v>
      </c>
      <c r="I11" s="5">
        <v>10</v>
      </c>
      <c r="J11" s="5" t="s">
        <v>236</v>
      </c>
      <c r="M11" s="5">
        <v>10</v>
      </c>
      <c r="N11" s="5" t="s">
        <v>490</v>
      </c>
      <c r="AD11" s="5">
        <v>10</v>
      </c>
      <c r="AE11" s="5" t="s">
        <v>675</v>
      </c>
      <c r="AH11" s="5">
        <v>10</v>
      </c>
      <c r="AI11" s="5" t="s">
        <v>508</v>
      </c>
      <c r="AJ11" s="6"/>
      <c r="AR11" s="6"/>
    </row>
    <row r="12" spans="1:55" x14ac:dyDescent="0.25">
      <c r="E12" s="5">
        <v>11</v>
      </c>
      <c r="F12" s="5" t="s">
        <v>144</v>
      </c>
      <c r="I12" s="5">
        <v>11</v>
      </c>
      <c r="J12" s="5" t="s">
        <v>237</v>
      </c>
      <c r="M12" s="5">
        <v>11</v>
      </c>
      <c r="N12" s="5" t="s">
        <v>776</v>
      </c>
      <c r="AD12" s="5">
        <v>11</v>
      </c>
      <c r="AE12" s="5" t="s">
        <v>676</v>
      </c>
      <c r="AH12" s="5">
        <v>11</v>
      </c>
      <c r="AI12" s="5" t="s">
        <v>509</v>
      </c>
      <c r="AJ12" s="6"/>
      <c r="AR12" s="6"/>
    </row>
    <row r="13" spans="1:55" x14ac:dyDescent="0.25">
      <c r="E13" s="5">
        <v>12</v>
      </c>
      <c r="F13" s="5" t="s">
        <v>105</v>
      </c>
      <c r="I13" s="5">
        <v>12</v>
      </c>
      <c r="J13" s="5" t="s">
        <v>238</v>
      </c>
      <c r="M13" s="5">
        <v>12</v>
      </c>
      <c r="N13" s="5" t="s">
        <v>777</v>
      </c>
      <c r="AD13" s="5">
        <v>12</v>
      </c>
      <c r="AE13" s="5" t="s">
        <v>677</v>
      </c>
      <c r="AH13" s="5">
        <v>12</v>
      </c>
      <c r="AI13" s="5" t="s">
        <v>510</v>
      </c>
      <c r="AJ13" s="6"/>
      <c r="AR13" s="6"/>
    </row>
    <row r="14" spans="1:55" x14ac:dyDescent="0.25">
      <c r="E14" s="5">
        <v>13</v>
      </c>
      <c r="F14" s="5" t="s">
        <v>84</v>
      </c>
      <c r="I14" s="5">
        <v>13</v>
      </c>
      <c r="J14" s="5" t="s">
        <v>239</v>
      </c>
      <c r="M14" s="5">
        <v>13</v>
      </c>
      <c r="N14" s="5" t="s">
        <v>778</v>
      </c>
      <c r="AD14" s="5">
        <v>13</v>
      </c>
      <c r="AE14" s="5" t="s">
        <v>678</v>
      </c>
      <c r="AH14" s="5">
        <v>13</v>
      </c>
      <c r="AI14" s="5" t="s">
        <v>511</v>
      </c>
      <c r="AJ14" s="6"/>
      <c r="AR14" s="6"/>
    </row>
    <row r="15" spans="1:55" x14ac:dyDescent="0.25">
      <c r="E15" s="5">
        <v>14</v>
      </c>
      <c r="F15" s="5" t="s">
        <v>85</v>
      </c>
      <c r="I15" s="5">
        <v>14</v>
      </c>
      <c r="J15" s="5" t="s">
        <v>240</v>
      </c>
      <c r="M15" s="5">
        <v>14</v>
      </c>
      <c r="N15" s="5" t="s">
        <v>779</v>
      </c>
      <c r="AD15" s="5">
        <v>14</v>
      </c>
      <c r="AE15" s="5" t="s">
        <v>679</v>
      </c>
      <c r="AH15" s="5">
        <v>14</v>
      </c>
      <c r="AI15" s="5" t="s">
        <v>248</v>
      </c>
      <c r="AJ15" s="6"/>
      <c r="AR15" s="6"/>
    </row>
    <row r="16" spans="1:55" x14ac:dyDescent="0.25">
      <c r="E16" s="5">
        <v>15</v>
      </c>
      <c r="F16" s="5" t="s">
        <v>120</v>
      </c>
      <c r="I16" s="5">
        <v>15</v>
      </c>
      <c r="J16" s="5" t="s">
        <v>241</v>
      </c>
      <c r="M16" s="5">
        <v>15</v>
      </c>
      <c r="N16" s="5" t="s">
        <v>780</v>
      </c>
      <c r="AD16" s="5">
        <v>15</v>
      </c>
      <c r="AE16" s="5" t="s">
        <v>680</v>
      </c>
      <c r="AH16" s="5">
        <v>15</v>
      </c>
      <c r="AI16" s="5" t="s">
        <v>512</v>
      </c>
      <c r="AJ16" s="6"/>
      <c r="AR16" s="6"/>
    </row>
    <row r="17" spans="3:44" x14ac:dyDescent="0.25">
      <c r="E17" s="5">
        <v>16</v>
      </c>
      <c r="F17" s="5" t="s">
        <v>145</v>
      </c>
      <c r="I17" s="5">
        <v>16</v>
      </c>
      <c r="J17" s="5" t="s">
        <v>242</v>
      </c>
      <c r="M17" s="5">
        <v>16</v>
      </c>
      <c r="N17" s="5" t="s">
        <v>781</v>
      </c>
      <c r="AD17" s="5">
        <v>16</v>
      </c>
      <c r="AE17" s="5" t="s">
        <v>681</v>
      </c>
      <c r="AH17" s="5">
        <v>16</v>
      </c>
      <c r="AI17" s="5" t="s">
        <v>513</v>
      </c>
      <c r="AJ17" s="6"/>
      <c r="AR17" s="6"/>
    </row>
    <row r="18" spans="3:44" x14ac:dyDescent="0.25">
      <c r="E18" s="5">
        <v>17</v>
      </c>
      <c r="F18" s="5" t="s">
        <v>18</v>
      </c>
      <c r="I18" s="5">
        <v>17</v>
      </c>
      <c r="J18" s="5" t="s">
        <v>64</v>
      </c>
      <c r="M18" s="5">
        <v>17</v>
      </c>
      <c r="N18" s="5" t="s">
        <v>782</v>
      </c>
      <c r="AD18" s="5">
        <v>17</v>
      </c>
      <c r="AE18" s="5" t="s">
        <v>682</v>
      </c>
      <c r="AH18" s="5">
        <v>17</v>
      </c>
      <c r="AI18" s="5" t="s">
        <v>514</v>
      </c>
      <c r="AJ18" s="6"/>
      <c r="AR18" s="6"/>
    </row>
    <row r="19" spans="3:44" x14ac:dyDescent="0.25">
      <c r="E19" s="5">
        <v>18</v>
      </c>
      <c r="F19" s="5" t="s">
        <v>86</v>
      </c>
      <c r="I19" s="5">
        <v>18</v>
      </c>
      <c r="J19" s="5" t="s">
        <v>204</v>
      </c>
      <c r="M19" s="5">
        <v>18</v>
      </c>
      <c r="N19" s="5" t="s">
        <v>783</v>
      </c>
      <c r="AD19" s="5">
        <v>18</v>
      </c>
      <c r="AE19" s="5" t="s">
        <v>683</v>
      </c>
      <c r="AH19" s="5">
        <v>18</v>
      </c>
      <c r="AI19" s="5" t="s">
        <v>515</v>
      </c>
      <c r="AJ19" s="6"/>
      <c r="AR19" s="6"/>
    </row>
    <row r="20" spans="3:44" x14ac:dyDescent="0.25">
      <c r="E20" s="5">
        <v>19</v>
      </c>
      <c r="F20" s="5" t="s">
        <v>65</v>
      </c>
      <c r="I20" s="5">
        <v>19</v>
      </c>
      <c r="J20" s="5" t="s">
        <v>173</v>
      </c>
      <c r="M20" s="5">
        <v>19</v>
      </c>
      <c r="N20" s="5" t="s">
        <v>784</v>
      </c>
      <c r="AD20" s="5">
        <v>19</v>
      </c>
      <c r="AE20" s="5" t="s">
        <v>684</v>
      </c>
      <c r="AH20" s="5">
        <v>19</v>
      </c>
      <c r="AI20" s="5" t="s">
        <v>516</v>
      </c>
      <c r="AJ20" s="6"/>
      <c r="AR20" s="6"/>
    </row>
    <row r="21" spans="3:44" x14ac:dyDescent="0.25">
      <c r="E21" s="5">
        <v>20</v>
      </c>
      <c r="F21" s="5" t="s">
        <v>121</v>
      </c>
      <c r="I21" s="5">
        <v>20</v>
      </c>
      <c r="J21" s="5" t="s">
        <v>243</v>
      </c>
      <c r="M21" s="5">
        <v>20</v>
      </c>
      <c r="N21" s="5" t="s">
        <v>491</v>
      </c>
      <c r="AD21" s="5">
        <v>20</v>
      </c>
      <c r="AE21" s="5" t="s">
        <v>685</v>
      </c>
      <c r="AH21" s="5">
        <v>20</v>
      </c>
      <c r="AI21" s="5" t="s">
        <v>517</v>
      </c>
      <c r="AJ21" s="6"/>
      <c r="AR21" s="6"/>
    </row>
    <row r="22" spans="3:44" x14ac:dyDescent="0.25">
      <c r="E22" s="5">
        <v>21</v>
      </c>
      <c r="F22" s="5" t="s">
        <v>66</v>
      </c>
      <c r="I22" s="5">
        <v>21</v>
      </c>
      <c r="J22" s="5" t="s">
        <v>244</v>
      </c>
      <c r="M22" s="5">
        <v>21</v>
      </c>
      <c r="N22" s="5" t="s">
        <v>492</v>
      </c>
      <c r="AD22" s="5">
        <v>21</v>
      </c>
      <c r="AE22" s="5" t="s">
        <v>686</v>
      </c>
      <c r="AH22" s="5">
        <v>21</v>
      </c>
      <c r="AI22" s="5" t="s">
        <v>518</v>
      </c>
      <c r="AJ22" s="6"/>
    </row>
    <row r="23" spans="3:44" x14ac:dyDescent="0.25">
      <c r="E23" s="5">
        <v>22</v>
      </c>
      <c r="F23" s="5" t="s">
        <v>106</v>
      </c>
      <c r="I23" s="5">
        <v>22</v>
      </c>
      <c r="J23" s="5" t="s">
        <v>245</v>
      </c>
      <c r="M23" s="5">
        <v>22</v>
      </c>
      <c r="N23" s="5" t="s">
        <v>785</v>
      </c>
      <c r="AD23" s="5">
        <v>22</v>
      </c>
      <c r="AE23" s="5" t="s">
        <v>687</v>
      </c>
      <c r="AH23" s="5">
        <v>22</v>
      </c>
      <c r="AI23" s="5" t="s">
        <v>519</v>
      </c>
      <c r="AJ23" s="6"/>
    </row>
    <row r="24" spans="3:44" x14ac:dyDescent="0.25">
      <c r="E24" s="5">
        <v>23</v>
      </c>
      <c r="F24" s="5" t="s">
        <v>87</v>
      </c>
      <c r="I24" s="5">
        <v>23</v>
      </c>
      <c r="J24" s="5" t="s">
        <v>143</v>
      </c>
      <c r="M24" s="5">
        <v>23</v>
      </c>
      <c r="N24" s="5" t="s">
        <v>786</v>
      </c>
      <c r="AD24" s="5">
        <v>23</v>
      </c>
      <c r="AE24" s="5" t="s">
        <v>688</v>
      </c>
      <c r="AH24" s="5">
        <v>23</v>
      </c>
      <c r="AI24" s="5" t="s">
        <v>520</v>
      </c>
      <c r="AJ24" s="6"/>
    </row>
    <row r="25" spans="3:44" x14ac:dyDescent="0.25">
      <c r="E25" s="5">
        <v>24</v>
      </c>
      <c r="F25" s="5" t="s">
        <v>107</v>
      </c>
      <c r="I25" s="5">
        <v>24</v>
      </c>
      <c r="J25" s="5" t="s">
        <v>246</v>
      </c>
      <c r="M25" s="5">
        <v>24</v>
      </c>
      <c r="N25" s="5" t="s">
        <v>787</v>
      </c>
      <c r="AD25" s="5">
        <v>24</v>
      </c>
      <c r="AE25" s="5" t="s">
        <v>689</v>
      </c>
      <c r="AH25" s="5">
        <v>24</v>
      </c>
      <c r="AI25" s="5" t="s">
        <v>521</v>
      </c>
      <c r="AJ25" s="6"/>
    </row>
    <row r="26" spans="3:44" x14ac:dyDescent="0.25">
      <c r="E26" s="5">
        <v>29</v>
      </c>
      <c r="F26" s="5" t="s">
        <v>146</v>
      </c>
      <c r="I26" s="5">
        <v>29</v>
      </c>
      <c r="J26" s="5" t="s">
        <v>105</v>
      </c>
      <c r="M26" s="5">
        <v>29</v>
      </c>
      <c r="N26" s="5" t="s">
        <v>788</v>
      </c>
      <c r="AD26" s="5">
        <v>25</v>
      </c>
      <c r="AE26" s="5" t="s">
        <v>690</v>
      </c>
      <c r="AH26" s="5">
        <v>25</v>
      </c>
      <c r="AI26" s="5" t="s">
        <v>288</v>
      </c>
      <c r="AJ26" s="6"/>
    </row>
    <row r="27" spans="3:44" ht="21" x14ac:dyDescent="0.35">
      <c r="C27" s="8"/>
      <c r="D27" s="8"/>
      <c r="E27" s="5">
        <v>30</v>
      </c>
      <c r="F27" s="5" t="s">
        <v>30</v>
      </c>
      <c r="H27" s="8"/>
      <c r="I27" s="5">
        <v>30</v>
      </c>
      <c r="J27" s="5" t="s">
        <v>247</v>
      </c>
      <c r="L27" s="8"/>
      <c r="M27" s="5">
        <v>30</v>
      </c>
      <c r="N27" s="5" t="s">
        <v>789</v>
      </c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5">
        <v>26</v>
      </c>
      <c r="AE27" s="5" t="s">
        <v>691</v>
      </c>
      <c r="AF27" s="8"/>
      <c r="AG27" s="8"/>
      <c r="AH27" s="5">
        <v>26</v>
      </c>
      <c r="AI27" s="5" t="s">
        <v>526</v>
      </c>
      <c r="AJ27" s="6"/>
    </row>
    <row r="28" spans="3:44" x14ac:dyDescent="0.25">
      <c r="E28" s="5">
        <v>31</v>
      </c>
      <c r="F28" s="5" t="s">
        <v>31</v>
      </c>
      <c r="I28" s="5">
        <v>31</v>
      </c>
      <c r="J28" s="5" t="s">
        <v>120</v>
      </c>
      <c r="M28" s="5">
        <v>31</v>
      </c>
      <c r="N28" s="5" t="s">
        <v>790</v>
      </c>
      <c r="AD28" s="5">
        <v>27</v>
      </c>
      <c r="AE28" s="5" t="s">
        <v>692</v>
      </c>
      <c r="AH28" s="5">
        <v>27</v>
      </c>
      <c r="AI28" s="5" t="s">
        <v>527</v>
      </c>
      <c r="AJ28" s="6"/>
    </row>
    <row r="29" spans="3:44" x14ac:dyDescent="0.25">
      <c r="E29" s="5">
        <v>32</v>
      </c>
      <c r="F29" s="5" t="s">
        <v>32</v>
      </c>
      <c r="I29" s="5">
        <v>32</v>
      </c>
      <c r="J29" s="5" t="s">
        <v>145</v>
      </c>
      <c r="M29" s="5">
        <v>32</v>
      </c>
      <c r="N29" s="5" t="s">
        <v>791</v>
      </c>
      <c r="AD29" s="5">
        <v>28</v>
      </c>
      <c r="AE29" s="5" t="s">
        <v>693</v>
      </c>
      <c r="AH29" s="5">
        <v>28</v>
      </c>
      <c r="AI29" s="5" t="s">
        <v>528</v>
      </c>
      <c r="AJ29" s="6"/>
    </row>
    <row r="30" spans="3:44" x14ac:dyDescent="0.25">
      <c r="E30" s="5">
        <v>33</v>
      </c>
      <c r="F30" s="5" t="s">
        <v>67</v>
      </c>
      <c r="I30" s="5">
        <v>33</v>
      </c>
      <c r="J30" s="5" t="s">
        <v>248</v>
      </c>
      <c r="M30" s="5">
        <v>33</v>
      </c>
      <c r="N30" s="5" t="s">
        <v>792</v>
      </c>
      <c r="AD30" s="5">
        <v>29</v>
      </c>
      <c r="AE30" s="5" t="s">
        <v>694</v>
      </c>
      <c r="AH30" s="5">
        <v>29</v>
      </c>
      <c r="AI30" s="5" t="s">
        <v>529</v>
      </c>
      <c r="AJ30" s="6"/>
    </row>
    <row r="31" spans="3:44" x14ac:dyDescent="0.25">
      <c r="E31" s="5">
        <v>34</v>
      </c>
      <c r="F31" s="5" t="s">
        <v>33</v>
      </c>
      <c r="I31" s="5">
        <v>34</v>
      </c>
      <c r="J31" s="5" t="s">
        <v>249</v>
      </c>
      <c r="M31" s="5">
        <v>34</v>
      </c>
      <c r="N31" s="5" t="s">
        <v>793</v>
      </c>
      <c r="AD31" s="5">
        <v>30</v>
      </c>
      <c r="AE31" s="5" t="s">
        <v>695</v>
      </c>
      <c r="AH31" s="5">
        <v>30</v>
      </c>
      <c r="AI31" s="5" t="s">
        <v>530</v>
      </c>
      <c r="AJ31" s="6"/>
    </row>
    <row r="32" spans="3:44" x14ac:dyDescent="0.25">
      <c r="E32" s="5">
        <v>35</v>
      </c>
      <c r="F32" s="5" t="s">
        <v>88</v>
      </c>
      <c r="I32" s="5">
        <v>35</v>
      </c>
      <c r="J32" s="5" t="s">
        <v>250</v>
      </c>
      <c r="M32" s="5">
        <v>35</v>
      </c>
      <c r="N32" s="5" t="s">
        <v>794</v>
      </c>
      <c r="AD32" s="5">
        <v>31</v>
      </c>
      <c r="AE32" s="5" t="s">
        <v>696</v>
      </c>
      <c r="AH32" s="5">
        <v>31</v>
      </c>
      <c r="AI32" s="5" t="s">
        <v>531</v>
      </c>
      <c r="AJ32" s="6"/>
    </row>
    <row r="33" spans="5:36" x14ac:dyDescent="0.25">
      <c r="E33" s="5">
        <v>36</v>
      </c>
      <c r="F33" s="5" t="s">
        <v>147</v>
      </c>
      <c r="I33" s="5">
        <v>36</v>
      </c>
      <c r="J33" s="5" t="s">
        <v>177</v>
      </c>
      <c r="M33" s="5">
        <v>36</v>
      </c>
      <c r="N33" s="5" t="s">
        <v>795</v>
      </c>
      <c r="AD33" s="5">
        <v>32</v>
      </c>
      <c r="AE33" s="5" t="s">
        <v>697</v>
      </c>
      <c r="AH33" s="5">
        <v>32</v>
      </c>
      <c r="AI33" s="5" t="s">
        <v>532</v>
      </c>
      <c r="AJ33" s="6"/>
    </row>
    <row r="34" spans="5:36" x14ac:dyDescent="0.25">
      <c r="E34" s="5">
        <v>37</v>
      </c>
      <c r="F34" s="5" t="s">
        <v>34</v>
      </c>
      <c r="I34" s="5">
        <v>37</v>
      </c>
      <c r="J34" s="5" t="s">
        <v>216</v>
      </c>
      <c r="M34" s="5">
        <v>37</v>
      </c>
      <c r="N34" s="5" t="s">
        <v>796</v>
      </c>
      <c r="AD34" s="5">
        <v>33</v>
      </c>
      <c r="AE34" s="5" t="s">
        <v>698</v>
      </c>
      <c r="AH34" s="5">
        <v>33</v>
      </c>
      <c r="AI34" s="5" t="s">
        <v>533</v>
      </c>
      <c r="AJ34" s="6"/>
    </row>
    <row r="35" spans="5:36" x14ac:dyDescent="0.25">
      <c r="E35" s="5">
        <v>38</v>
      </c>
      <c r="F35" s="5" t="s">
        <v>148</v>
      </c>
      <c r="I35" s="5">
        <v>38</v>
      </c>
      <c r="J35" s="5" t="s">
        <v>251</v>
      </c>
      <c r="M35" s="5">
        <v>38</v>
      </c>
      <c r="N35" s="5" t="s">
        <v>797</v>
      </c>
      <c r="AD35" s="5">
        <v>34</v>
      </c>
      <c r="AE35" s="5" t="s">
        <v>699</v>
      </c>
      <c r="AH35" s="5">
        <v>34</v>
      </c>
      <c r="AI35" s="5" t="s">
        <v>534</v>
      </c>
      <c r="AJ35" s="6"/>
    </row>
    <row r="36" spans="5:36" x14ac:dyDescent="0.25">
      <c r="E36" s="5">
        <v>39</v>
      </c>
      <c r="F36" s="5" t="s">
        <v>89</v>
      </c>
      <c r="I36" s="5">
        <v>39</v>
      </c>
      <c r="J36" s="5" t="s">
        <v>252</v>
      </c>
      <c r="M36" s="5">
        <v>39</v>
      </c>
      <c r="N36" s="5" t="s">
        <v>798</v>
      </c>
      <c r="AD36" s="5">
        <v>35</v>
      </c>
      <c r="AE36" s="5" t="s">
        <v>700</v>
      </c>
      <c r="AH36" s="5">
        <v>35</v>
      </c>
      <c r="AI36" s="5" t="s">
        <v>535</v>
      </c>
      <c r="AJ36" s="6"/>
    </row>
    <row r="37" spans="5:36" x14ac:dyDescent="0.25">
      <c r="E37" s="5">
        <v>40</v>
      </c>
      <c r="F37" s="5" t="s">
        <v>68</v>
      </c>
      <c r="I37" s="5">
        <v>40</v>
      </c>
      <c r="J37" s="5" t="s">
        <v>253</v>
      </c>
      <c r="M37" s="5">
        <v>40</v>
      </c>
      <c r="N37" s="5" t="s">
        <v>799</v>
      </c>
      <c r="AD37" s="5">
        <v>36</v>
      </c>
      <c r="AE37" s="5" t="s">
        <v>701</v>
      </c>
      <c r="AH37" s="5">
        <v>36</v>
      </c>
      <c r="AI37" s="5" t="s">
        <v>536</v>
      </c>
      <c r="AJ37" s="6"/>
    </row>
    <row r="38" spans="5:36" x14ac:dyDescent="0.25">
      <c r="E38" s="5">
        <v>41</v>
      </c>
      <c r="F38" s="5" t="s">
        <v>69</v>
      </c>
      <c r="I38" s="5">
        <v>41</v>
      </c>
      <c r="J38" s="5" t="s">
        <v>254</v>
      </c>
      <c r="M38" s="5">
        <v>41</v>
      </c>
      <c r="N38" s="5" t="s">
        <v>800</v>
      </c>
      <c r="AD38" s="5">
        <v>37</v>
      </c>
      <c r="AE38" s="5" t="s">
        <v>702</v>
      </c>
      <c r="AH38" s="5">
        <v>37</v>
      </c>
      <c r="AI38" s="5" t="s">
        <v>537</v>
      </c>
      <c r="AJ38" s="6"/>
    </row>
    <row r="39" spans="5:36" x14ac:dyDescent="0.25">
      <c r="E39" s="5">
        <v>42</v>
      </c>
      <c r="F39" s="5" t="s">
        <v>149</v>
      </c>
      <c r="I39" s="5">
        <v>42</v>
      </c>
      <c r="J39" s="5" t="s">
        <v>255</v>
      </c>
      <c r="AD39" s="5">
        <v>38</v>
      </c>
      <c r="AE39" s="5" t="s">
        <v>703</v>
      </c>
      <c r="AH39" s="5">
        <v>38</v>
      </c>
      <c r="AI39" s="5" t="s">
        <v>538</v>
      </c>
      <c r="AJ39" s="6"/>
    </row>
    <row r="40" spans="5:36" x14ac:dyDescent="0.25">
      <c r="E40" s="5">
        <v>43</v>
      </c>
      <c r="F40" s="5" t="s">
        <v>90</v>
      </c>
      <c r="I40" s="5">
        <v>43</v>
      </c>
      <c r="J40" s="5" t="s">
        <v>256</v>
      </c>
      <c r="AD40" s="5">
        <v>39</v>
      </c>
      <c r="AE40" s="5" t="s">
        <v>704</v>
      </c>
      <c r="AH40" s="5">
        <v>39</v>
      </c>
      <c r="AI40" s="5" t="s">
        <v>539</v>
      </c>
      <c r="AJ40" s="6"/>
    </row>
    <row r="41" spans="5:36" x14ac:dyDescent="0.25">
      <c r="E41" s="5">
        <v>44</v>
      </c>
      <c r="F41" s="5" t="s">
        <v>108</v>
      </c>
      <c r="I41" s="5">
        <v>44</v>
      </c>
      <c r="J41" s="5" t="s">
        <v>257</v>
      </c>
      <c r="AD41" s="5">
        <v>40</v>
      </c>
      <c r="AE41" s="5" t="s">
        <v>705</v>
      </c>
      <c r="AH41" s="5">
        <v>40</v>
      </c>
      <c r="AI41" s="5" t="s">
        <v>540</v>
      </c>
      <c r="AJ41" s="6"/>
    </row>
    <row r="42" spans="5:36" x14ac:dyDescent="0.25">
      <c r="E42" s="5">
        <v>45</v>
      </c>
      <c r="F42" s="5" t="s">
        <v>35</v>
      </c>
      <c r="I42" s="5">
        <v>45</v>
      </c>
      <c r="J42" s="5" t="s">
        <v>258</v>
      </c>
      <c r="AD42" s="5">
        <v>41</v>
      </c>
      <c r="AE42" s="5" t="s">
        <v>706</v>
      </c>
      <c r="AH42" s="5">
        <v>41</v>
      </c>
      <c r="AI42" s="5" t="s">
        <v>541</v>
      </c>
      <c r="AJ42" s="6"/>
    </row>
    <row r="43" spans="5:36" x14ac:dyDescent="0.25">
      <c r="E43" s="5">
        <v>46</v>
      </c>
      <c r="F43" s="5" t="s">
        <v>19</v>
      </c>
      <c r="I43" s="5">
        <v>46</v>
      </c>
      <c r="J43" s="5" t="s">
        <v>259</v>
      </c>
      <c r="AD43" s="5">
        <v>42</v>
      </c>
      <c r="AE43" s="5" t="s">
        <v>707</v>
      </c>
      <c r="AH43" s="5">
        <v>42</v>
      </c>
      <c r="AI43" s="5" t="s">
        <v>542</v>
      </c>
      <c r="AJ43" s="6"/>
    </row>
    <row r="44" spans="5:36" x14ac:dyDescent="0.25">
      <c r="E44" s="5">
        <v>47</v>
      </c>
      <c r="F44" s="5" t="s">
        <v>70</v>
      </c>
      <c r="I44" s="5">
        <v>47</v>
      </c>
      <c r="J44" s="5" t="s">
        <v>260</v>
      </c>
      <c r="AD44" s="5">
        <v>43</v>
      </c>
      <c r="AE44" s="5" t="s">
        <v>708</v>
      </c>
      <c r="AH44" s="5">
        <v>43</v>
      </c>
      <c r="AI44" s="5" t="s">
        <v>543</v>
      </c>
      <c r="AJ44" s="6"/>
    </row>
    <row r="45" spans="5:36" x14ac:dyDescent="0.25">
      <c r="E45" s="5">
        <v>48</v>
      </c>
      <c r="F45" s="5" t="s">
        <v>109</v>
      </c>
      <c r="I45" s="5">
        <v>48</v>
      </c>
      <c r="J45" s="5" t="s">
        <v>261</v>
      </c>
      <c r="AD45" s="5">
        <v>44</v>
      </c>
      <c r="AE45" s="5" t="s">
        <v>709</v>
      </c>
      <c r="AH45" s="5">
        <v>44</v>
      </c>
      <c r="AI45" s="5" t="s">
        <v>544</v>
      </c>
      <c r="AJ45" s="6"/>
    </row>
    <row r="46" spans="5:36" x14ac:dyDescent="0.25">
      <c r="E46" s="5">
        <v>49</v>
      </c>
      <c r="F46" s="5" t="s">
        <v>91</v>
      </c>
      <c r="I46" s="5">
        <v>49</v>
      </c>
      <c r="J46" s="5" t="s">
        <v>174</v>
      </c>
      <c r="AD46" s="5">
        <v>45</v>
      </c>
      <c r="AE46" s="5" t="s">
        <v>710</v>
      </c>
      <c r="AH46" s="5">
        <v>45</v>
      </c>
      <c r="AI46" s="5" t="s">
        <v>545</v>
      </c>
      <c r="AJ46" s="6"/>
    </row>
    <row r="47" spans="5:36" x14ac:dyDescent="0.25">
      <c r="E47" s="5">
        <v>50</v>
      </c>
      <c r="F47" s="5" t="s">
        <v>36</v>
      </c>
      <c r="I47" s="5">
        <v>50</v>
      </c>
      <c r="J47" s="5" t="s">
        <v>184</v>
      </c>
      <c r="AD47" s="5">
        <v>46</v>
      </c>
      <c r="AE47" s="5" t="s">
        <v>711</v>
      </c>
      <c r="AH47" s="5">
        <v>46</v>
      </c>
      <c r="AI47" s="5" t="s">
        <v>546</v>
      </c>
      <c r="AJ47" s="6"/>
    </row>
    <row r="48" spans="5:36" x14ac:dyDescent="0.25">
      <c r="E48" s="5">
        <v>51</v>
      </c>
      <c r="F48" s="5" t="s">
        <v>150</v>
      </c>
      <c r="I48" s="5">
        <v>51</v>
      </c>
      <c r="J48" s="5" t="s">
        <v>65</v>
      </c>
      <c r="AD48" s="5">
        <v>47</v>
      </c>
      <c r="AE48" s="5" t="s">
        <v>712</v>
      </c>
      <c r="AH48" s="5">
        <v>47</v>
      </c>
      <c r="AI48" s="5" t="s">
        <v>547</v>
      </c>
      <c r="AJ48" s="6"/>
    </row>
    <row r="49" spans="5:36" x14ac:dyDescent="0.25">
      <c r="E49" s="5">
        <v>52</v>
      </c>
      <c r="F49" s="5" t="s">
        <v>71</v>
      </c>
      <c r="I49" s="5">
        <v>52</v>
      </c>
      <c r="J49" s="5" t="s">
        <v>262</v>
      </c>
      <c r="AD49" s="5">
        <v>48</v>
      </c>
      <c r="AE49" s="5" t="s">
        <v>713</v>
      </c>
      <c r="AH49" s="5">
        <v>48</v>
      </c>
      <c r="AI49" s="5" t="s">
        <v>548</v>
      </c>
      <c r="AJ49" s="6"/>
    </row>
    <row r="50" spans="5:36" x14ac:dyDescent="0.25">
      <c r="E50" s="5">
        <v>53</v>
      </c>
      <c r="F50" s="5" t="s">
        <v>72</v>
      </c>
      <c r="I50" s="5">
        <v>53</v>
      </c>
      <c r="J50" s="5" t="s">
        <v>263</v>
      </c>
      <c r="AD50" s="5">
        <v>49</v>
      </c>
      <c r="AE50" s="5" t="s">
        <v>714</v>
      </c>
      <c r="AH50" s="5">
        <v>49</v>
      </c>
      <c r="AI50" s="5" t="s">
        <v>549</v>
      </c>
      <c r="AJ50" s="6"/>
    </row>
    <row r="51" spans="5:36" x14ac:dyDescent="0.25">
      <c r="E51" s="5">
        <v>54</v>
      </c>
      <c r="F51" s="5" t="s">
        <v>151</v>
      </c>
      <c r="I51" s="5">
        <v>54</v>
      </c>
      <c r="J51" s="5" t="s">
        <v>209</v>
      </c>
      <c r="AD51" s="5">
        <v>50</v>
      </c>
      <c r="AE51" s="5" t="s">
        <v>715</v>
      </c>
      <c r="AH51" s="5">
        <v>50</v>
      </c>
      <c r="AI51" s="5" t="s">
        <v>550</v>
      </c>
      <c r="AJ51" s="6"/>
    </row>
    <row r="52" spans="5:36" x14ac:dyDescent="0.25">
      <c r="E52" s="5">
        <v>55</v>
      </c>
      <c r="F52" s="5" t="s">
        <v>92</v>
      </c>
      <c r="I52" s="5">
        <v>55</v>
      </c>
      <c r="J52" s="5" t="s">
        <v>264</v>
      </c>
      <c r="AD52" s="5">
        <v>51</v>
      </c>
      <c r="AE52" s="5" t="s">
        <v>716</v>
      </c>
      <c r="AH52" s="5">
        <v>51</v>
      </c>
      <c r="AI52" s="5" t="s">
        <v>551</v>
      </c>
      <c r="AJ52" s="6"/>
    </row>
    <row r="53" spans="5:36" x14ac:dyDescent="0.25">
      <c r="E53" s="5">
        <v>56</v>
      </c>
      <c r="F53" s="5" t="s">
        <v>130</v>
      </c>
      <c r="I53" s="5">
        <v>56</v>
      </c>
      <c r="J53" s="5" t="s">
        <v>265</v>
      </c>
      <c r="AD53" s="5">
        <v>52</v>
      </c>
      <c r="AE53" s="5" t="s">
        <v>717</v>
      </c>
      <c r="AH53" s="5">
        <v>52</v>
      </c>
      <c r="AI53" s="5" t="s">
        <v>552</v>
      </c>
      <c r="AJ53" s="6"/>
    </row>
    <row r="54" spans="5:36" x14ac:dyDescent="0.25">
      <c r="E54" s="5">
        <v>57</v>
      </c>
      <c r="F54" s="5" t="s">
        <v>152</v>
      </c>
      <c r="I54" s="5">
        <v>57</v>
      </c>
      <c r="J54" s="5" t="s">
        <v>185</v>
      </c>
      <c r="AD54" s="5">
        <v>53</v>
      </c>
      <c r="AE54" s="5" t="s">
        <v>718</v>
      </c>
      <c r="AH54" s="5">
        <v>53</v>
      </c>
      <c r="AI54" s="5" t="s">
        <v>553</v>
      </c>
      <c r="AJ54" s="6"/>
    </row>
    <row r="55" spans="5:36" x14ac:dyDescent="0.25">
      <c r="E55" s="5">
        <v>58</v>
      </c>
      <c r="F55" s="5" t="s">
        <v>153</v>
      </c>
      <c r="I55" s="5">
        <v>58</v>
      </c>
      <c r="J55" s="5" t="s">
        <v>266</v>
      </c>
      <c r="AD55" s="5">
        <v>54</v>
      </c>
      <c r="AE55" s="5" t="s">
        <v>719</v>
      </c>
      <c r="AH55" s="5">
        <v>54</v>
      </c>
      <c r="AI55" s="5" t="s">
        <v>554</v>
      </c>
      <c r="AJ55" s="6"/>
    </row>
    <row r="56" spans="5:36" x14ac:dyDescent="0.25">
      <c r="E56" s="5">
        <v>59</v>
      </c>
      <c r="F56" s="5" t="s">
        <v>93</v>
      </c>
      <c r="I56" s="5">
        <v>59</v>
      </c>
      <c r="J56" s="5" t="s">
        <v>267</v>
      </c>
      <c r="AD56" s="5">
        <v>55</v>
      </c>
      <c r="AE56" s="5" t="s">
        <v>720</v>
      </c>
      <c r="AH56" s="5">
        <v>55</v>
      </c>
      <c r="AI56" s="5" t="s">
        <v>555</v>
      </c>
      <c r="AJ56" s="6"/>
    </row>
    <row r="57" spans="5:36" x14ac:dyDescent="0.25">
      <c r="E57" s="5">
        <v>60</v>
      </c>
      <c r="F57" s="5" t="s">
        <v>94</v>
      </c>
      <c r="I57" s="5">
        <v>60</v>
      </c>
      <c r="J57" s="5" t="s">
        <v>268</v>
      </c>
      <c r="AD57" s="5">
        <v>56</v>
      </c>
      <c r="AE57" s="5" t="s">
        <v>721</v>
      </c>
      <c r="AH57" s="5">
        <v>56</v>
      </c>
      <c r="AI57" s="5" t="s">
        <v>556</v>
      </c>
      <c r="AJ57" s="6"/>
    </row>
    <row r="58" spans="5:36" x14ac:dyDescent="0.25">
      <c r="E58" s="5">
        <v>61</v>
      </c>
      <c r="F58" s="5" t="s">
        <v>73</v>
      </c>
      <c r="I58" s="5">
        <v>61</v>
      </c>
      <c r="J58" s="5" t="s">
        <v>269</v>
      </c>
      <c r="AD58" s="5">
        <v>57</v>
      </c>
      <c r="AE58" s="5" t="s">
        <v>722</v>
      </c>
      <c r="AH58" s="5">
        <v>57</v>
      </c>
      <c r="AI58" s="5" t="s">
        <v>557</v>
      </c>
      <c r="AJ58" s="6"/>
    </row>
    <row r="59" spans="5:36" x14ac:dyDescent="0.25">
      <c r="E59" s="5">
        <v>62</v>
      </c>
      <c r="F59" s="5" t="s">
        <v>95</v>
      </c>
      <c r="I59" s="5">
        <v>62</v>
      </c>
      <c r="J59" s="5" t="s">
        <v>270</v>
      </c>
      <c r="AD59" s="5">
        <v>58</v>
      </c>
      <c r="AE59" s="5" t="s">
        <v>723</v>
      </c>
      <c r="AH59" s="5">
        <v>58</v>
      </c>
      <c r="AI59" s="5" t="s">
        <v>558</v>
      </c>
      <c r="AJ59" s="6"/>
    </row>
    <row r="60" spans="5:36" x14ac:dyDescent="0.25">
      <c r="E60" s="5">
        <v>63</v>
      </c>
      <c r="F60" s="5" t="s">
        <v>131</v>
      </c>
      <c r="I60" s="5">
        <v>63</v>
      </c>
      <c r="J60" s="5" t="s">
        <v>271</v>
      </c>
      <c r="AD60" s="5">
        <v>59</v>
      </c>
      <c r="AE60" s="5" t="s">
        <v>724</v>
      </c>
      <c r="AH60" s="5">
        <v>59</v>
      </c>
      <c r="AI60" s="5" t="s">
        <v>559</v>
      </c>
      <c r="AJ60" s="6"/>
    </row>
    <row r="61" spans="5:36" x14ac:dyDescent="0.25">
      <c r="E61" s="5">
        <v>64</v>
      </c>
      <c r="F61" s="5" t="s">
        <v>37</v>
      </c>
      <c r="I61" s="5">
        <v>64</v>
      </c>
      <c r="J61" s="5" t="s">
        <v>107</v>
      </c>
      <c r="AD61" s="5">
        <v>60</v>
      </c>
      <c r="AE61" s="5" t="s">
        <v>725</v>
      </c>
      <c r="AH61" s="5">
        <v>60</v>
      </c>
      <c r="AI61" s="5" t="s">
        <v>560</v>
      </c>
      <c r="AJ61" s="6"/>
    </row>
    <row r="62" spans="5:36" x14ac:dyDescent="0.25">
      <c r="E62" s="5">
        <v>65</v>
      </c>
      <c r="F62" s="5" t="s">
        <v>132</v>
      </c>
      <c r="I62" s="5">
        <v>65</v>
      </c>
      <c r="J62" s="5" t="s">
        <v>272</v>
      </c>
      <c r="AD62" s="5">
        <v>61</v>
      </c>
      <c r="AE62" s="5" t="s">
        <v>726</v>
      </c>
      <c r="AH62" s="5">
        <v>61</v>
      </c>
      <c r="AI62" s="5" t="s">
        <v>561</v>
      </c>
      <c r="AJ62" s="6"/>
    </row>
    <row r="63" spans="5:36" x14ac:dyDescent="0.25">
      <c r="E63" s="5">
        <v>66</v>
      </c>
      <c r="F63" s="5" t="s">
        <v>38</v>
      </c>
      <c r="I63" s="5">
        <v>66</v>
      </c>
      <c r="J63" s="5" t="s">
        <v>273</v>
      </c>
      <c r="AH63" s="5">
        <v>62</v>
      </c>
      <c r="AI63" s="5" t="s">
        <v>562</v>
      </c>
      <c r="AJ63" s="6"/>
    </row>
    <row r="64" spans="5:36" x14ac:dyDescent="0.25">
      <c r="E64" s="5">
        <v>67</v>
      </c>
      <c r="F64" s="5" t="s">
        <v>133</v>
      </c>
      <c r="I64" s="5">
        <v>67</v>
      </c>
      <c r="J64" s="5" t="s">
        <v>122</v>
      </c>
      <c r="AH64" s="5">
        <v>63</v>
      </c>
      <c r="AI64" s="5" t="s">
        <v>563</v>
      </c>
      <c r="AJ64" s="6"/>
    </row>
    <row r="65" spans="5:36" x14ac:dyDescent="0.25">
      <c r="E65" s="5">
        <v>68</v>
      </c>
      <c r="F65" s="5" t="s">
        <v>39</v>
      </c>
      <c r="I65" s="5">
        <v>68</v>
      </c>
      <c r="J65" s="5" t="s">
        <v>274</v>
      </c>
      <c r="AH65" s="5">
        <v>64</v>
      </c>
      <c r="AI65" s="5" t="s">
        <v>564</v>
      </c>
      <c r="AJ65" s="6"/>
    </row>
    <row r="66" spans="5:36" x14ac:dyDescent="0.25">
      <c r="E66" s="5">
        <v>69</v>
      </c>
      <c r="F66" s="5" t="s">
        <v>74</v>
      </c>
      <c r="I66" s="5">
        <v>69</v>
      </c>
      <c r="J66" s="5" t="s">
        <v>29</v>
      </c>
      <c r="AH66" s="5">
        <v>65</v>
      </c>
      <c r="AI66" s="5" t="s">
        <v>565</v>
      </c>
      <c r="AJ66" s="6"/>
    </row>
    <row r="67" spans="5:36" x14ac:dyDescent="0.25">
      <c r="E67" s="5">
        <v>70</v>
      </c>
      <c r="F67" s="5" t="s">
        <v>134</v>
      </c>
      <c r="I67" s="5">
        <v>70</v>
      </c>
      <c r="J67" s="5" t="s">
        <v>275</v>
      </c>
      <c r="AH67" s="5">
        <v>66</v>
      </c>
      <c r="AI67" s="5" t="s">
        <v>566</v>
      </c>
      <c r="AJ67" s="6"/>
    </row>
    <row r="68" spans="5:36" x14ac:dyDescent="0.25">
      <c r="E68" s="5">
        <v>71</v>
      </c>
      <c r="F68" s="5" t="s">
        <v>75</v>
      </c>
      <c r="I68" s="5">
        <v>71</v>
      </c>
      <c r="J68" s="5" t="s">
        <v>276</v>
      </c>
      <c r="AH68" s="5">
        <v>67</v>
      </c>
      <c r="AI68" s="5" t="s">
        <v>567</v>
      </c>
      <c r="AJ68" s="6"/>
    </row>
    <row r="69" spans="5:36" x14ac:dyDescent="0.25">
      <c r="E69" s="5">
        <v>72</v>
      </c>
      <c r="F69" s="5" t="s">
        <v>40</v>
      </c>
      <c r="I69" s="5">
        <v>72</v>
      </c>
      <c r="J69" s="5" t="s">
        <v>277</v>
      </c>
      <c r="AH69" s="5">
        <v>68</v>
      </c>
      <c r="AI69" s="5" t="s">
        <v>568</v>
      </c>
      <c r="AJ69" s="6"/>
    </row>
    <row r="70" spans="5:36" x14ac:dyDescent="0.25">
      <c r="E70" s="5">
        <v>73</v>
      </c>
      <c r="F70" s="5" t="s">
        <v>135</v>
      </c>
      <c r="I70" s="5">
        <v>73</v>
      </c>
      <c r="J70" s="5" t="s">
        <v>278</v>
      </c>
      <c r="AH70" s="5">
        <v>69</v>
      </c>
      <c r="AI70" s="5" t="s">
        <v>569</v>
      </c>
      <c r="AJ70" s="6"/>
    </row>
    <row r="71" spans="5:36" x14ac:dyDescent="0.25">
      <c r="E71" s="5">
        <v>74</v>
      </c>
      <c r="F71" s="5" t="s">
        <v>41</v>
      </c>
      <c r="I71" s="5">
        <v>74</v>
      </c>
      <c r="J71" s="5" t="s">
        <v>279</v>
      </c>
      <c r="AH71" s="5">
        <v>70</v>
      </c>
      <c r="AI71" s="5" t="s">
        <v>570</v>
      </c>
      <c r="AJ71" s="6"/>
    </row>
    <row r="72" spans="5:36" x14ac:dyDescent="0.25">
      <c r="E72" s="5">
        <v>75</v>
      </c>
      <c r="F72" s="5" t="s">
        <v>42</v>
      </c>
      <c r="I72" s="5">
        <v>75</v>
      </c>
      <c r="J72" s="5" t="s">
        <v>280</v>
      </c>
      <c r="AH72" s="5">
        <v>71</v>
      </c>
      <c r="AI72" s="5" t="s">
        <v>571</v>
      </c>
      <c r="AJ72" s="6"/>
    </row>
    <row r="73" spans="5:36" x14ac:dyDescent="0.25">
      <c r="E73" s="5">
        <v>76</v>
      </c>
      <c r="F73" s="5" t="s">
        <v>76</v>
      </c>
      <c r="I73" s="5">
        <v>76</v>
      </c>
      <c r="J73" s="5" t="s">
        <v>281</v>
      </c>
      <c r="AH73" s="5">
        <v>72</v>
      </c>
      <c r="AI73" s="5" t="s">
        <v>572</v>
      </c>
      <c r="AJ73" s="6"/>
    </row>
    <row r="74" spans="5:36" x14ac:dyDescent="0.25">
      <c r="E74" s="5">
        <v>77</v>
      </c>
      <c r="F74" s="5" t="s">
        <v>123</v>
      </c>
      <c r="I74" s="5">
        <v>77</v>
      </c>
      <c r="J74" s="5" t="s">
        <v>282</v>
      </c>
      <c r="AH74" s="5">
        <v>73</v>
      </c>
      <c r="AI74" s="5" t="s">
        <v>573</v>
      </c>
      <c r="AJ74" s="6"/>
    </row>
    <row r="75" spans="5:36" x14ac:dyDescent="0.25">
      <c r="E75" s="5">
        <v>78</v>
      </c>
      <c r="F75" s="5" t="s">
        <v>43</v>
      </c>
      <c r="I75" s="5">
        <v>78</v>
      </c>
      <c r="J75" s="5" t="s">
        <v>283</v>
      </c>
      <c r="AH75" s="5">
        <v>74</v>
      </c>
      <c r="AI75" s="5" t="s">
        <v>574</v>
      </c>
      <c r="AJ75" s="6"/>
    </row>
    <row r="76" spans="5:36" x14ac:dyDescent="0.25">
      <c r="E76" s="5">
        <v>79</v>
      </c>
      <c r="F76" s="5" t="s">
        <v>124</v>
      </c>
      <c r="I76" s="5">
        <v>79</v>
      </c>
      <c r="J76" s="5" t="s">
        <v>284</v>
      </c>
      <c r="AH76" s="5">
        <v>75</v>
      </c>
      <c r="AI76" s="5" t="s">
        <v>575</v>
      </c>
      <c r="AJ76" s="6"/>
    </row>
    <row r="77" spans="5:36" x14ac:dyDescent="0.25">
      <c r="E77" s="5">
        <v>80</v>
      </c>
      <c r="F77" s="5" t="s">
        <v>96</v>
      </c>
      <c r="I77" s="5">
        <v>80</v>
      </c>
      <c r="J77" s="5" t="s">
        <v>285</v>
      </c>
      <c r="AH77" s="5">
        <v>76</v>
      </c>
      <c r="AI77" s="5" t="s">
        <v>576</v>
      </c>
      <c r="AJ77" s="6"/>
    </row>
    <row r="78" spans="5:36" x14ac:dyDescent="0.25">
      <c r="E78" s="5">
        <v>81</v>
      </c>
      <c r="F78" s="5" t="s">
        <v>154</v>
      </c>
      <c r="I78" s="5">
        <v>81</v>
      </c>
      <c r="J78" s="5" t="s">
        <v>67</v>
      </c>
      <c r="AH78" s="5">
        <v>77</v>
      </c>
      <c r="AI78" s="5" t="s">
        <v>577</v>
      </c>
      <c r="AJ78" s="6"/>
    </row>
    <row r="79" spans="5:36" x14ac:dyDescent="0.25">
      <c r="E79" s="5">
        <v>82</v>
      </c>
      <c r="F79" s="5" t="s">
        <v>20</v>
      </c>
      <c r="I79" s="5">
        <v>82</v>
      </c>
      <c r="J79" s="5" t="s">
        <v>286</v>
      </c>
      <c r="AH79" s="5">
        <v>78</v>
      </c>
      <c r="AI79" s="5" t="s">
        <v>578</v>
      </c>
      <c r="AJ79" s="6"/>
    </row>
    <row r="80" spans="5:36" x14ac:dyDescent="0.25">
      <c r="E80" s="5">
        <v>83</v>
      </c>
      <c r="F80" s="5" t="s">
        <v>44</v>
      </c>
      <c r="I80" s="5">
        <v>83</v>
      </c>
      <c r="J80" s="5" t="s">
        <v>202</v>
      </c>
      <c r="AH80" s="5">
        <v>79</v>
      </c>
      <c r="AI80" s="5" t="s">
        <v>579</v>
      </c>
      <c r="AJ80" s="6"/>
    </row>
    <row r="81" spans="5:36" x14ac:dyDescent="0.25">
      <c r="E81" s="5">
        <v>84</v>
      </c>
      <c r="F81" s="5" t="s">
        <v>110</v>
      </c>
      <c r="I81" s="5">
        <v>84</v>
      </c>
      <c r="J81" s="5" t="s">
        <v>287</v>
      </c>
      <c r="AH81" s="5">
        <v>80</v>
      </c>
      <c r="AI81" s="5" t="s">
        <v>580</v>
      </c>
      <c r="AJ81" s="6"/>
    </row>
    <row r="82" spans="5:36" x14ac:dyDescent="0.25">
      <c r="E82" s="5">
        <v>85</v>
      </c>
      <c r="F82" s="5" t="s">
        <v>21</v>
      </c>
      <c r="I82" s="5">
        <v>85</v>
      </c>
      <c r="J82" s="5" t="s">
        <v>288</v>
      </c>
      <c r="AH82" s="5">
        <v>81</v>
      </c>
      <c r="AI82" s="5" t="s">
        <v>581</v>
      </c>
      <c r="AJ82" s="6"/>
    </row>
    <row r="83" spans="5:36" x14ac:dyDescent="0.25">
      <c r="E83" s="5">
        <v>86</v>
      </c>
      <c r="F83" s="5" t="s">
        <v>45</v>
      </c>
      <c r="I83" s="5">
        <v>86</v>
      </c>
      <c r="J83" s="5" t="s">
        <v>289</v>
      </c>
      <c r="AH83" s="5">
        <v>82</v>
      </c>
      <c r="AI83" s="5" t="s">
        <v>582</v>
      </c>
      <c r="AJ83" s="6"/>
    </row>
    <row r="84" spans="5:36" x14ac:dyDescent="0.25">
      <c r="E84" s="5">
        <v>87</v>
      </c>
      <c r="F84" s="5" t="s">
        <v>111</v>
      </c>
      <c r="I84" s="5">
        <v>87</v>
      </c>
      <c r="J84" s="5" t="s">
        <v>290</v>
      </c>
      <c r="AH84" s="5">
        <v>83</v>
      </c>
      <c r="AI84" s="5" t="s">
        <v>583</v>
      </c>
      <c r="AJ84" s="6"/>
    </row>
    <row r="85" spans="5:36" x14ac:dyDescent="0.25">
      <c r="E85" s="5">
        <v>88</v>
      </c>
      <c r="F85" s="5" t="s">
        <v>125</v>
      </c>
      <c r="I85" s="5">
        <v>88</v>
      </c>
      <c r="J85" s="5" t="s">
        <v>147</v>
      </c>
      <c r="AH85" s="5">
        <v>84</v>
      </c>
      <c r="AI85" s="5" t="s">
        <v>584</v>
      </c>
      <c r="AJ85" s="6"/>
    </row>
    <row r="86" spans="5:36" x14ac:dyDescent="0.25">
      <c r="E86" s="5">
        <v>89</v>
      </c>
      <c r="F86" s="5" t="s">
        <v>22</v>
      </c>
      <c r="I86" s="5">
        <v>89</v>
      </c>
      <c r="J86" s="5" t="s">
        <v>291</v>
      </c>
      <c r="AH86" s="5">
        <v>85</v>
      </c>
      <c r="AI86" s="5" t="s">
        <v>585</v>
      </c>
      <c r="AJ86" s="6"/>
    </row>
    <row r="87" spans="5:36" x14ac:dyDescent="0.25">
      <c r="E87" s="5">
        <v>90</v>
      </c>
      <c r="F87" s="5" t="s">
        <v>46</v>
      </c>
      <c r="I87" s="5">
        <v>90</v>
      </c>
      <c r="J87" s="5" t="s">
        <v>292</v>
      </c>
      <c r="AH87" s="5">
        <v>86</v>
      </c>
      <c r="AI87" s="5" t="s">
        <v>586</v>
      </c>
      <c r="AJ87" s="6"/>
    </row>
    <row r="88" spans="5:36" x14ac:dyDescent="0.25">
      <c r="E88" s="5">
        <v>91</v>
      </c>
      <c r="F88" s="5" t="s">
        <v>155</v>
      </c>
      <c r="I88" s="5">
        <v>91</v>
      </c>
      <c r="J88" s="5" t="s">
        <v>293</v>
      </c>
      <c r="AH88" s="5">
        <v>87</v>
      </c>
      <c r="AI88" s="5" t="s">
        <v>587</v>
      </c>
      <c r="AJ88" s="6"/>
    </row>
    <row r="89" spans="5:36" x14ac:dyDescent="0.25">
      <c r="E89" s="5">
        <v>92</v>
      </c>
      <c r="F89" s="5" t="s">
        <v>47</v>
      </c>
      <c r="I89" s="5">
        <v>92</v>
      </c>
      <c r="J89" s="5" t="s">
        <v>294</v>
      </c>
      <c r="AH89" s="5">
        <v>88</v>
      </c>
      <c r="AI89" s="5" t="s">
        <v>588</v>
      </c>
      <c r="AJ89" s="6"/>
    </row>
    <row r="90" spans="5:36" x14ac:dyDescent="0.25">
      <c r="E90" s="5">
        <v>93</v>
      </c>
      <c r="F90" s="5" t="s">
        <v>156</v>
      </c>
      <c r="I90" s="5">
        <v>93</v>
      </c>
      <c r="J90" s="5" t="s">
        <v>295</v>
      </c>
      <c r="AH90" s="5">
        <v>89</v>
      </c>
      <c r="AI90" s="5" t="s">
        <v>589</v>
      </c>
      <c r="AJ90" s="6"/>
    </row>
    <row r="91" spans="5:36" x14ac:dyDescent="0.25">
      <c r="E91" s="5">
        <v>94</v>
      </c>
      <c r="F91" s="5" t="s">
        <v>48</v>
      </c>
      <c r="I91" s="5">
        <v>94</v>
      </c>
      <c r="J91" s="5" t="s">
        <v>296</v>
      </c>
      <c r="AH91" s="5">
        <v>90</v>
      </c>
      <c r="AI91" s="5" t="s">
        <v>590</v>
      </c>
      <c r="AJ91" s="6"/>
    </row>
    <row r="92" spans="5:36" x14ac:dyDescent="0.25">
      <c r="E92" s="5">
        <v>95</v>
      </c>
      <c r="F92" s="5" t="s">
        <v>157</v>
      </c>
      <c r="I92" s="5">
        <v>95</v>
      </c>
      <c r="J92" s="5" t="s">
        <v>297</v>
      </c>
      <c r="AH92" s="5">
        <v>91</v>
      </c>
      <c r="AI92" s="5" t="s">
        <v>591</v>
      </c>
      <c r="AJ92" s="6"/>
    </row>
    <row r="93" spans="5:36" x14ac:dyDescent="0.25">
      <c r="E93" s="5">
        <v>96</v>
      </c>
      <c r="F93" s="5" t="s">
        <v>49</v>
      </c>
      <c r="I93" s="5">
        <v>96</v>
      </c>
      <c r="J93" s="5" t="s">
        <v>298</v>
      </c>
      <c r="AH93" s="5">
        <v>92</v>
      </c>
      <c r="AI93" s="5" t="s">
        <v>592</v>
      </c>
      <c r="AJ93" s="6"/>
    </row>
    <row r="94" spans="5:36" x14ac:dyDescent="0.25">
      <c r="E94" s="5">
        <v>97</v>
      </c>
      <c r="F94" s="5" t="s">
        <v>136</v>
      </c>
      <c r="I94" s="5">
        <v>97</v>
      </c>
      <c r="J94" s="5" t="s">
        <v>299</v>
      </c>
      <c r="AH94" s="5">
        <v>93</v>
      </c>
      <c r="AI94" s="5" t="s">
        <v>593</v>
      </c>
      <c r="AJ94" s="6"/>
    </row>
    <row r="95" spans="5:36" x14ac:dyDescent="0.25">
      <c r="E95" s="5">
        <v>98</v>
      </c>
      <c r="F95" s="5" t="s">
        <v>97</v>
      </c>
      <c r="I95" s="5">
        <v>98</v>
      </c>
      <c r="J95" s="5" t="s">
        <v>300</v>
      </c>
      <c r="AH95" s="5">
        <v>94</v>
      </c>
      <c r="AI95" s="5" t="s">
        <v>594</v>
      </c>
      <c r="AJ95" s="6"/>
    </row>
    <row r="96" spans="5:36" x14ac:dyDescent="0.25">
      <c r="E96" s="5">
        <v>99</v>
      </c>
      <c r="F96" s="5" t="s">
        <v>77</v>
      </c>
      <c r="I96" s="5">
        <v>99</v>
      </c>
      <c r="J96" s="5" t="s">
        <v>301</v>
      </c>
      <c r="AH96" s="5">
        <v>95</v>
      </c>
      <c r="AI96" s="5" t="s">
        <v>595</v>
      </c>
      <c r="AJ96" s="6"/>
    </row>
    <row r="97" spans="5:36" x14ac:dyDescent="0.25">
      <c r="E97" s="5">
        <v>100</v>
      </c>
      <c r="F97" s="5" t="s">
        <v>78</v>
      </c>
      <c r="I97" s="5">
        <v>100</v>
      </c>
      <c r="J97" s="5" t="s">
        <v>178</v>
      </c>
      <c r="AH97" s="5">
        <v>96</v>
      </c>
      <c r="AI97" s="5" t="s">
        <v>596</v>
      </c>
      <c r="AJ97" s="6"/>
    </row>
    <row r="98" spans="5:36" x14ac:dyDescent="0.25">
      <c r="E98" s="5">
        <v>101</v>
      </c>
      <c r="F98" s="5" t="s">
        <v>23</v>
      </c>
      <c r="I98" s="5">
        <v>101</v>
      </c>
      <c r="J98" s="5" t="s">
        <v>302</v>
      </c>
      <c r="AH98" s="5">
        <v>97</v>
      </c>
      <c r="AI98" s="5" t="s">
        <v>597</v>
      </c>
      <c r="AJ98" s="6"/>
    </row>
    <row r="99" spans="5:36" x14ac:dyDescent="0.25">
      <c r="E99" s="5">
        <v>102</v>
      </c>
      <c r="F99" s="5" t="s">
        <v>137</v>
      </c>
      <c r="I99" s="5">
        <v>102</v>
      </c>
      <c r="J99" s="5" t="s">
        <v>108</v>
      </c>
      <c r="AH99" s="5">
        <v>98</v>
      </c>
      <c r="AI99" s="5" t="s">
        <v>598</v>
      </c>
      <c r="AJ99" s="6"/>
    </row>
    <row r="100" spans="5:36" x14ac:dyDescent="0.25">
      <c r="E100" s="5">
        <v>103</v>
      </c>
      <c r="F100" s="5" t="s">
        <v>158</v>
      </c>
      <c r="I100" s="5">
        <v>103</v>
      </c>
      <c r="J100" s="5" t="s">
        <v>303</v>
      </c>
      <c r="AH100" s="5">
        <v>99</v>
      </c>
      <c r="AI100" s="5" t="s">
        <v>599</v>
      </c>
      <c r="AJ100" s="6"/>
    </row>
    <row r="101" spans="5:36" x14ac:dyDescent="0.25">
      <c r="E101" s="5">
        <v>104</v>
      </c>
      <c r="F101" s="5" t="s">
        <v>24</v>
      </c>
      <c r="I101" s="5">
        <v>104</v>
      </c>
      <c r="J101" s="5" t="s">
        <v>304</v>
      </c>
      <c r="AH101" s="5">
        <v>100</v>
      </c>
      <c r="AI101" s="5" t="s">
        <v>600</v>
      </c>
      <c r="AJ101" s="6"/>
    </row>
    <row r="102" spans="5:36" x14ac:dyDescent="0.25">
      <c r="E102" s="5">
        <v>105</v>
      </c>
      <c r="F102" s="5" t="s">
        <v>25</v>
      </c>
      <c r="I102" s="5">
        <v>105</v>
      </c>
      <c r="J102" s="5" t="s">
        <v>205</v>
      </c>
      <c r="AH102" s="5">
        <v>101</v>
      </c>
      <c r="AI102" s="5" t="s">
        <v>601</v>
      </c>
      <c r="AJ102" s="6"/>
    </row>
    <row r="103" spans="5:36" x14ac:dyDescent="0.25">
      <c r="E103" s="5">
        <v>106</v>
      </c>
      <c r="F103" s="5" t="s">
        <v>126</v>
      </c>
      <c r="I103" s="5">
        <v>106</v>
      </c>
      <c r="J103" s="5" t="s">
        <v>305</v>
      </c>
      <c r="AH103" s="5">
        <v>102</v>
      </c>
      <c r="AI103" s="5" t="s">
        <v>602</v>
      </c>
      <c r="AJ103" s="6"/>
    </row>
    <row r="104" spans="5:36" x14ac:dyDescent="0.25">
      <c r="E104" s="5">
        <v>107</v>
      </c>
      <c r="F104" s="5" t="s">
        <v>159</v>
      </c>
      <c r="I104" s="5">
        <v>107</v>
      </c>
      <c r="J104" s="5" t="s">
        <v>221</v>
      </c>
      <c r="AH104" s="5">
        <v>103</v>
      </c>
      <c r="AI104" s="5" t="s">
        <v>603</v>
      </c>
      <c r="AJ104" s="6"/>
    </row>
    <row r="105" spans="5:36" x14ac:dyDescent="0.25">
      <c r="E105" s="5">
        <v>108</v>
      </c>
      <c r="F105" s="5" t="s">
        <v>98</v>
      </c>
      <c r="I105" s="5">
        <v>108</v>
      </c>
      <c r="J105" s="5" t="s">
        <v>306</v>
      </c>
      <c r="AH105" s="5">
        <v>104</v>
      </c>
      <c r="AI105" s="5" t="s">
        <v>604</v>
      </c>
      <c r="AJ105" s="6"/>
    </row>
    <row r="106" spans="5:36" x14ac:dyDescent="0.25">
      <c r="E106" s="5">
        <v>109</v>
      </c>
      <c r="F106" s="5" t="s">
        <v>50</v>
      </c>
      <c r="I106" s="5">
        <v>109</v>
      </c>
      <c r="J106" s="5" t="s">
        <v>193</v>
      </c>
      <c r="AH106" s="5">
        <v>105</v>
      </c>
      <c r="AI106" s="5" t="s">
        <v>605</v>
      </c>
      <c r="AJ106" s="6"/>
    </row>
    <row r="107" spans="5:36" x14ac:dyDescent="0.25">
      <c r="E107" s="5">
        <v>110</v>
      </c>
      <c r="F107" s="5" t="s">
        <v>51</v>
      </c>
      <c r="I107" s="5">
        <v>110</v>
      </c>
      <c r="J107" s="5" t="s">
        <v>307</v>
      </c>
      <c r="AH107" s="5">
        <v>106</v>
      </c>
      <c r="AI107" s="5" t="s">
        <v>606</v>
      </c>
      <c r="AJ107" s="6"/>
    </row>
    <row r="108" spans="5:36" x14ac:dyDescent="0.25">
      <c r="E108" s="5">
        <v>111</v>
      </c>
      <c r="F108" s="5" t="s">
        <v>99</v>
      </c>
      <c r="I108" s="5">
        <v>111</v>
      </c>
      <c r="J108" s="5" t="s">
        <v>308</v>
      </c>
      <c r="AH108" s="5">
        <v>107</v>
      </c>
      <c r="AI108" s="5" t="s">
        <v>607</v>
      </c>
      <c r="AJ108" s="6"/>
    </row>
    <row r="109" spans="5:36" x14ac:dyDescent="0.25">
      <c r="E109" s="5">
        <v>112</v>
      </c>
      <c r="F109" s="5" t="s">
        <v>112</v>
      </c>
      <c r="I109" s="5">
        <v>112</v>
      </c>
      <c r="J109" s="5" t="s">
        <v>109</v>
      </c>
      <c r="AH109" s="5">
        <v>108</v>
      </c>
      <c r="AI109" s="5" t="s">
        <v>608</v>
      </c>
      <c r="AJ109" s="6"/>
    </row>
    <row r="110" spans="5:36" x14ac:dyDescent="0.25">
      <c r="E110" s="5">
        <v>113</v>
      </c>
      <c r="F110" s="5" t="s">
        <v>100</v>
      </c>
      <c r="I110" s="5">
        <v>113</v>
      </c>
      <c r="J110" s="5" t="s">
        <v>309</v>
      </c>
      <c r="AH110" s="5">
        <v>109</v>
      </c>
      <c r="AI110" s="5" t="s">
        <v>609</v>
      </c>
      <c r="AJ110" s="6"/>
    </row>
    <row r="111" spans="5:36" x14ac:dyDescent="0.25">
      <c r="E111" s="5">
        <v>114</v>
      </c>
      <c r="F111" s="5" t="s">
        <v>138</v>
      </c>
      <c r="I111" s="5">
        <v>114</v>
      </c>
      <c r="J111" s="5" t="s">
        <v>310</v>
      </c>
      <c r="AH111" s="5">
        <v>110</v>
      </c>
      <c r="AI111" s="5" t="s">
        <v>610</v>
      </c>
      <c r="AJ111" s="6"/>
    </row>
    <row r="112" spans="5:36" x14ac:dyDescent="0.25">
      <c r="E112" s="5">
        <v>115</v>
      </c>
      <c r="F112" s="5" t="s">
        <v>160</v>
      </c>
      <c r="I112" s="5">
        <v>115</v>
      </c>
      <c r="J112" s="5" t="s">
        <v>311</v>
      </c>
      <c r="AH112" s="5">
        <v>111</v>
      </c>
      <c r="AI112" s="5" t="s">
        <v>611</v>
      </c>
      <c r="AJ112" s="6"/>
    </row>
    <row r="113" spans="5:36" x14ac:dyDescent="0.25">
      <c r="E113" s="5">
        <v>116</v>
      </c>
      <c r="F113" s="5" t="s">
        <v>139</v>
      </c>
      <c r="I113" s="5">
        <v>116</v>
      </c>
      <c r="J113" s="5" t="s">
        <v>312</v>
      </c>
      <c r="AH113" s="5">
        <v>112</v>
      </c>
      <c r="AI113" s="5" t="s">
        <v>612</v>
      </c>
      <c r="AJ113" s="6"/>
    </row>
    <row r="114" spans="5:36" x14ac:dyDescent="0.25">
      <c r="E114" s="5">
        <v>117</v>
      </c>
      <c r="F114" s="5" t="s">
        <v>127</v>
      </c>
      <c r="I114" s="5">
        <v>117</v>
      </c>
      <c r="J114" s="5" t="s">
        <v>313</v>
      </c>
      <c r="AH114" s="5">
        <v>113</v>
      </c>
      <c r="AI114" s="5" t="s">
        <v>613</v>
      </c>
      <c r="AJ114" s="6"/>
    </row>
    <row r="115" spans="5:36" x14ac:dyDescent="0.25">
      <c r="E115" s="5">
        <v>118</v>
      </c>
      <c r="F115" s="5" t="s">
        <v>26</v>
      </c>
      <c r="I115" s="5">
        <v>118</v>
      </c>
      <c r="J115" s="5" t="s">
        <v>314</v>
      </c>
      <c r="AH115" s="5">
        <v>114</v>
      </c>
      <c r="AI115" s="5" t="s">
        <v>614</v>
      </c>
      <c r="AJ115" s="6"/>
    </row>
    <row r="116" spans="5:36" x14ac:dyDescent="0.25">
      <c r="E116" s="5">
        <v>119</v>
      </c>
      <c r="F116" s="5" t="s">
        <v>79</v>
      </c>
      <c r="I116" s="5">
        <v>119</v>
      </c>
      <c r="J116" s="5" t="s">
        <v>315</v>
      </c>
    </row>
    <row r="117" spans="5:36" x14ac:dyDescent="0.25">
      <c r="E117" s="5">
        <v>120</v>
      </c>
      <c r="F117" s="5" t="s">
        <v>113</v>
      </c>
      <c r="I117" s="5">
        <v>120</v>
      </c>
      <c r="J117" s="5" t="s">
        <v>316</v>
      </c>
    </row>
    <row r="118" spans="5:36" x14ac:dyDescent="0.25">
      <c r="E118" s="5">
        <v>121</v>
      </c>
      <c r="F118" s="5" t="s">
        <v>52</v>
      </c>
      <c r="I118" s="5">
        <v>121</v>
      </c>
      <c r="J118" s="5" t="s">
        <v>317</v>
      </c>
    </row>
    <row r="119" spans="5:36" x14ac:dyDescent="0.25">
      <c r="E119" s="5">
        <v>122</v>
      </c>
      <c r="F119" s="5" t="s">
        <v>114</v>
      </c>
      <c r="I119" s="5">
        <v>122</v>
      </c>
      <c r="J119" s="5" t="s">
        <v>318</v>
      </c>
    </row>
    <row r="120" spans="5:36" x14ac:dyDescent="0.25">
      <c r="E120" s="5">
        <v>123</v>
      </c>
      <c r="F120" s="5" t="s">
        <v>128</v>
      </c>
      <c r="I120" s="5">
        <v>123</v>
      </c>
      <c r="J120" s="5" t="s">
        <v>319</v>
      </c>
    </row>
    <row r="121" spans="5:36" x14ac:dyDescent="0.25">
      <c r="E121" s="5">
        <v>124</v>
      </c>
      <c r="F121" s="5" t="s">
        <v>53</v>
      </c>
      <c r="I121" s="5">
        <v>124</v>
      </c>
      <c r="J121" s="5" t="s">
        <v>320</v>
      </c>
    </row>
    <row r="122" spans="5:36" x14ac:dyDescent="0.25">
      <c r="E122" s="5">
        <v>125</v>
      </c>
      <c r="F122" s="5" t="s">
        <v>161</v>
      </c>
      <c r="I122" s="5">
        <v>125</v>
      </c>
      <c r="J122" s="5" t="s">
        <v>321</v>
      </c>
    </row>
    <row r="123" spans="5:36" x14ac:dyDescent="0.25">
      <c r="E123" s="5">
        <v>126</v>
      </c>
      <c r="F123" s="5" t="s">
        <v>115</v>
      </c>
      <c r="I123" s="5">
        <v>126</v>
      </c>
      <c r="J123" s="5" t="s">
        <v>72</v>
      </c>
    </row>
    <row r="124" spans="5:36" x14ac:dyDescent="0.25">
      <c r="E124" s="5">
        <v>127</v>
      </c>
      <c r="F124" s="5" t="s">
        <v>116</v>
      </c>
      <c r="I124" s="5">
        <v>127</v>
      </c>
      <c r="J124" s="5" t="s">
        <v>322</v>
      </c>
    </row>
    <row r="125" spans="5:36" x14ac:dyDescent="0.25">
      <c r="E125" s="5">
        <v>128</v>
      </c>
      <c r="F125" s="5" t="s">
        <v>140</v>
      </c>
      <c r="I125" s="5">
        <v>128</v>
      </c>
      <c r="J125" s="5" t="s">
        <v>323</v>
      </c>
    </row>
    <row r="126" spans="5:36" x14ac:dyDescent="0.25">
      <c r="E126" s="5">
        <v>129</v>
      </c>
      <c r="F126" s="5" t="s">
        <v>101</v>
      </c>
      <c r="I126" s="5">
        <v>129</v>
      </c>
      <c r="J126" s="5" t="s">
        <v>324</v>
      </c>
    </row>
    <row r="127" spans="5:36" x14ac:dyDescent="0.25">
      <c r="E127" s="5">
        <v>130</v>
      </c>
      <c r="F127" s="5" t="s">
        <v>102</v>
      </c>
      <c r="I127" s="5">
        <v>130</v>
      </c>
      <c r="J127" s="5" t="s">
        <v>325</v>
      </c>
    </row>
    <row r="128" spans="5:36" x14ac:dyDescent="0.25">
      <c r="E128" s="5">
        <v>131</v>
      </c>
      <c r="F128" s="5" t="s">
        <v>162</v>
      </c>
      <c r="I128" s="5">
        <v>131</v>
      </c>
      <c r="J128" s="5" t="s">
        <v>151</v>
      </c>
    </row>
    <row r="129" spans="5:10" x14ac:dyDescent="0.25">
      <c r="E129" s="5">
        <v>132</v>
      </c>
      <c r="F129" s="5" t="s">
        <v>54</v>
      </c>
      <c r="I129" s="5">
        <v>132</v>
      </c>
      <c r="J129" s="5" t="s">
        <v>326</v>
      </c>
    </row>
    <row r="130" spans="5:10" x14ac:dyDescent="0.25">
      <c r="E130" s="5">
        <v>133</v>
      </c>
      <c r="F130" s="5" t="s">
        <v>55</v>
      </c>
      <c r="I130" s="5">
        <v>133</v>
      </c>
      <c r="J130" s="5" t="s">
        <v>327</v>
      </c>
    </row>
    <row r="131" spans="5:10" x14ac:dyDescent="0.25">
      <c r="E131" s="5">
        <v>134</v>
      </c>
      <c r="F131" s="5" t="s">
        <v>56</v>
      </c>
      <c r="I131" s="5">
        <v>134</v>
      </c>
      <c r="J131" s="5" t="s">
        <v>328</v>
      </c>
    </row>
    <row r="132" spans="5:10" x14ac:dyDescent="0.25">
      <c r="E132" s="5">
        <v>135</v>
      </c>
      <c r="F132" s="5" t="s">
        <v>141</v>
      </c>
      <c r="I132" s="5">
        <v>135</v>
      </c>
      <c r="J132" s="5" t="s">
        <v>329</v>
      </c>
    </row>
    <row r="133" spans="5:10" x14ac:dyDescent="0.25">
      <c r="E133" s="5">
        <v>136</v>
      </c>
      <c r="F133" s="5" t="s">
        <v>27</v>
      </c>
      <c r="I133" s="5">
        <v>136</v>
      </c>
      <c r="J133" s="5" t="s">
        <v>152</v>
      </c>
    </row>
    <row r="134" spans="5:10" x14ac:dyDescent="0.25">
      <c r="E134" s="5">
        <v>137</v>
      </c>
      <c r="F134" s="5" t="s">
        <v>117</v>
      </c>
      <c r="I134" s="5">
        <v>137</v>
      </c>
      <c r="J134" s="5" t="s">
        <v>330</v>
      </c>
    </row>
    <row r="135" spans="5:10" x14ac:dyDescent="0.25">
      <c r="E135" s="5">
        <v>138</v>
      </c>
      <c r="F135" s="5" t="s">
        <v>142</v>
      </c>
      <c r="I135" s="5">
        <v>138</v>
      </c>
      <c r="J135" s="5" t="s">
        <v>331</v>
      </c>
    </row>
    <row r="136" spans="5:10" x14ac:dyDescent="0.25">
      <c r="E136" s="5">
        <v>139</v>
      </c>
      <c r="F136" s="5" t="s">
        <v>57</v>
      </c>
      <c r="I136" s="5">
        <v>139</v>
      </c>
      <c r="J136" s="5" t="s">
        <v>153</v>
      </c>
    </row>
    <row r="137" spans="5:10" x14ac:dyDescent="0.25">
      <c r="E137" s="5">
        <v>140</v>
      </c>
      <c r="F137" s="5" t="s">
        <v>163</v>
      </c>
      <c r="I137" s="5">
        <v>140</v>
      </c>
      <c r="J137" s="5" t="s">
        <v>332</v>
      </c>
    </row>
    <row r="138" spans="5:10" x14ac:dyDescent="0.25">
      <c r="E138" s="5">
        <v>141</v>
      </c>
      <c r="F138" s="5" t="s">
        <v>164</v>
      </c>
      <c r="I138" s="5">
        <v>141</v>
      </c>
      <c r="J138" s="5" t="s">
        <v>333</v>
      </c>
    </row>
    <row r="139" spans="5:10" x14ac:dyDescent="0.25">
      <c r="E139" s="5">
        <v>142</v>
      </c>
      <c r="F139" s="5" t="s">
        <v>165</v>
      </c>
      <c r="I139" s="5">
        <v>142</v>
      </c>
      <c r="J139" s="5" t="s">
        <v>73</v>
      </c>
    </row>
    <row r="140" spans="5:10" x14ac:dyDescent="0.25">
      <c r="E140" s="5">
        <v>143</v>
      </c>
      <c r="F140" s="5" t="s">
        <v>80</v>
      </c>
      <c r="I140" s="5">
        <v>143</v>
      </c>
      <c r="J140" s="5" t="s">
        <v>181</v>
      </c>
    </row>
    <row r="141" spans="5:10" x14ac:dyDescent="0.25">
      <c r="E141" s="5">
        <v>144</v>
      </c>
      <c r="F141" s="5" t="s">
        <v>103</v>
      </c>
      <c r="I141" s="5">
        <v>144</v>
      </c>
      <c r="J141" s="5" t="s">
        <v>222</v>
      </c>
    </row>
    <row r="142" spans="5:10" x14ac:dyDescent="0.25">
      <c r="E142" s="5">
        <v>145</v>
      </c>
      <c r="F142" s="5" t="s">
        <v>104</v>
      </c>
      <c r="I142" s="5">
        <v>145</v>
      </c>
      <c r="J142" s="5" t="s">
        <v>186</v>
      </c>
    </row>
    <row r="143" spans="5:10" x14ac:dyDescent="0.25">
      <c r="E143" s="5">
        <v>146</v>
      </c>
      <c r="F143" s="5" t="s">
        <v>58</v>
      </c>
      <c r="I143" s="5">
        <v>146</v>
      </c>
      <c r="J143" s="5" t="s">
        <v>208</v>
      </c>
    </row>
    <row r="144" spans="5:10" x14ac:dyDescent="0.25">
      <c r="E144" s="5">
        <v>147</v>
      </c>
      <c r="F144" s="5" t="s">
        <v>59</v>
      </c>
      <c r="I144" s="5">
        <v>147</v>
      </c>
      <c r="J144" s="5" t="s">
        <v>334</v>
      </c>
    </row>
    <row r="145" spans="5:10" x14ac:dyDescent="0.25">
      <c r="E145" s="5">
        <v>148</v>
      </c>
      <c r="F145" s="5" t="s">
        <v>60</v>
      </c>
      <c r="I145" s="5">
        <v>148</v>
      </c>
      <c r="J145" s="5" t="s">
        <v>335</v>
      </c>
    </row>
    <row r="146" spans="5:10" x14ac:dyDescent="0.25">
      <c r="E146" s="5">
        <v>149</v>
      </c>
      <c r="F146" s="5" t="s">
        <v>118</v>
      </c>
      <c r="I146" s="5">
        <v>149</v>
      </c>
      <c r="J146" s="5" t="s">
        <v>175</v>
      </c>
    </row>
    <row r="147" spans="5:10" x14ac:dyDescent="0.25">
      <c r="E147" s="5">
        <v>150</v>
      </c>
      <c r="F147" s="5" t="s">
        <v>119</v>
      </c>
      <c r="I147" s="5">
        <v>150</v>
      </c>
      <c r="J147" s="5" t="s">
        <v>336</v>
      </c>
    </row>
    <row r="148" spans="5:10" x14ac:dyDescent="0.25">
      <c r="I148" s="5">
        <v>151</v>
      </c>
      <c r="J148" s="5" t="s">
        <v>337</v>
      </c>
    </row>
    <row r="149" spans="5:10" x14ac:dyDescent="0.25">
      <c r="I149" s="5">
        <v>152</v>
      </c>
      <c r="J149" s="5" t="s">
        <v>223</v>
      </c>
    </row>
    <row r="150" spans="5:10" x14ac:dyDescent="0.25">
      <c r="I150" s="5">
        <v>153</v>
      </c>
      <c r="J150" s="5" t="s">
        <v>338</v>
      </c>
    </row>
    <row r="151" spans="5:10" x14ac:dyDescent="0.25">
      <c r="I151" s="5">
        <v>154</v>
      </c>
      <c r="J151" s="5" t="s">
        <v>339</v>
      </c>
    </row>
    <row r="152" spans="5:10" x14ac:dyDescent="0.25">
      <c r="I152" s="5">
        <v>155</v>
      </c>
      <c r="J152" s="5" t="s">
        <v>340</v>
      </c>
    </row>
    <row r="153" spans="5:10" x14ac:dyDescent="0.25">
      <c r="I153" s="5">
        <v>156</v>
      </c>
      <c r="J153" s="5" t="s">
        <v>134</v>
      </c>
    </row>
    <row r="154" spans="5:10" x14ac:dyDescent="0.25">
      <c r="I154" s="5">
        <v>157</v>
      </c>
      <c r="J154" s="5" t="s">
        <v>341</v>
      </c>
    </row>
    <row r="155" spans="5:10" x14ac:dyDescent="0.25">
      <c r="I155" s="5">
        <v>158</v>
      </c>
      <c r="J155" s="5" t="s">
        <v>342</v>
      </c>
    </row>
    <row r="156" spans="5:10" x14ac:dyDescent="0.25">
      <c r="I156" s="5">
        <v>159</v>
      </c>
      <c r="J156" s="5" t="s">
        <v>343</v>
      </c>
    </row>
    <row r="157" spans="5:10" x14ac:dyDescent="0.25">
      <c r="I157" s="5">
        <v>160</v>
      </c>
      <c r="J157" s="5" t="s">
        <v>344</v>
      </c>
    </row>
    <row r="158" spans="5:10" x14ac:dyDescent="0.25">
      <c r="I158" s="5">
        <v>161</v>
      </c>
      <c r="J158" s="5" t="s">
        <v>187</v>
      </c>
    </row>
    <row r="159" spans="5:10" x14ac:dyDescent="0.25">
      <c r="I159" s="5">
        <v>162</v>
      </c>
      <c r="J159" s="5" t="s">
        <v>345</v>
      </c>
    </row>
    <row r="160" spans="5:10" x14ac:dyDescent="0.25">
      <c r="I160" s="5">
        <v>163</v>
      </c>
      <c r="J160" s="5" t="s">
        <v>346</v>
      </c>
    </row>
    <row r="161" spans="9:10" x14ac:dyDescent="0.25">
      <c r="I161" s="5">
        <v>164</v>
      </c>
      <c r="J161" s="5" t="s">
        <v>347</v>
      </c>
    </row>
    <row r="162" spans="9:10" x14ac:dyDescent="0.25">
      <c r="I162" s="5">
        <v>165</v>
      </c>
      <c r="J162" s="5" t="s">
        <v>348</v>
      </c>
    </row>
    <row r="163" spans="9:10" x14ac:dyDescent="0.25">
      <c r="I163" s="5">
        <v>166</v>
      </c>
      <c r="J163" s="5" t="s">
        <v>349</v>
      </c>
    </row>
    <row r="164" spans="9:10" x14ac:dyDescent="0.25">
      <c r="I164" s="5">
        <v>167</v>
      </c>
      <c r="J164" s="5" t="s">
        <v>350</v>
      </c>
    </row>
    <row r="165" spans="9:10" x14ac:dyDescent="0.25">
      <c r="I165" s="5">
        <v>168</v>
      </c>
      <c r="J165" s="5" t="s">
        <v>351</v>
      </c>
    </row>
    <row r="166" spans="9:10" x14ac:dyDescent="0.25">
      <c r="I166" s="5">
        <v>169</v>
      </c>
      <c r="J166" s="5" t="s">
        <v>352</v>
      </c>
    </row>
    <row r="167" spans="9:10" x14ac:dyDescent="0.25">
      <c r="I167" s="5">
        <v>170</v>
      </c>
      <c r="J167" s="5" t="s">
        <v>353</v>
      </c>
    </row>
    <row r="168" spans="9:10" x14ac:dyDescent="0.25">
      <c r="I168" s="5">
        <v>171</v>
      </c>
      <c r="J168" s="5" t="s">
        <v>124</v>
      </c>
    </row>
    <row r="169" spans="9:10" x14ac:dyDescent="0.25">
      <c r="I169" s="5">
        <v>172</v>
      </c>
      <c r="J169" s="5" t="s">
        <v>20</v>
      </c>
    </row>
    <row r="170" spans="9:10" x14ac:dyDescent="0.25">
      <c r="I170" s="5">
        <v>173</v>
      </c>
      <c r="J170" s="5" t="s">
        <v>191</v>
      </c>
    </row>
    <row r="171" spans="9:10" x14ac:dyDescent="0.25">
      <c r="I171" s="5">
        <v>174</v>
      </c>
      <c r="J171" s="5" t="s">
        <v>354</v>
      </c>
    </row>
    <row r="172" spans="9:10" x14ac:dyDescent="0.25">
      <c r="I172" s="5">
        <v>175</v>
      </c>
      <c r="J172" s="5" t="s">
        <v>355</v>
      </c>
    </row>
    <row r="173" spans="9:10" x14ac:dyDescent="0.25">
      <c r="I173" s="5">
        <v>176</v>
      </c>
      <c r="J173" s="5" t="s">
        <v>356</v>
      </c>
    </row>
    <row r="174" spans="9:10" x14ac:dyDescent="0.25">
      <c r="I174" s="5">
        <v>177</v>
      </c>
      <c r="J174" s="5" t="s">
        <v>357</v>
      </c>
    </row>
    <row r="175" spans="9:10" x14ac:dyDescent="0.25">
      <c r="I175" s="5">
        <v>178</v>
      </c>
      <c r="J175" s="5" t="s">
        <v>110</v>
      </c>
    </row>
    <row r="176" spans="9:10" x14ac:dyDescent="0.25">
      <c r="I176" s="5">
        <v>179</v>
      </c>
      <c r="J176" s="5" t="s">
        <v>111</v>
      </c>
    </row>
    <row r="177" spans="9:10" x14ac:dyDescent="0.25">
      <c r="I177" s="5">
        <v>180</v>
      </c>
      <c r="J177" s="5" t="s">
        <v>358</v>
      </c>
    </row>
    <row r="178" spans="9:10" x14ac:dyDescent="0.25">
      <c r="I178" s="5">
        <v>181</v>
      </c>
      <c r="J178" s="5" t="s">
        <v>125</v>
      </c>
    </row>
    <row r="179" spans="9:10" x14ac:dyDescent="0.25">
      <c r="I179" s="5">
        <v>182</v>
      </c>
      <c r="J179" s="5" t="s">
        <v>359</v>
      </c>
    </row>
    <row r="180" spans="9:10" x14ac:dyDescent="0.25">
      <c r="I180" s="5">
        <v>183</v>
      </c>
      <c r="J180" s="5" t="s">
        <v>360</v>
      </c>
    </row>
    <row r="181" spans="9:10" x14ac:dyDescent="0.25">
      <c r="I181" s="5">
        <v>184</v>
      </c>
      <c r="J181" s="5" t="s">
        <v>361</v>
      </c>
    </row>
    <row r="182" spans="9:10" x14ac:dyDescent="0.25">
      <c r="I182" s="5">
        <v>185</v>
      </c>
      <c r="J182" s="5" t="s">
        <v>194</v>
      </c>
    </row>
    <row r="183" spans="9:10" x14ac:dyDescent="0.25">
      <c r="I183" s="5">
        <v>186</v>
      </c>
      <c r="J183" s="5" t="s">
        <v>362</v>
      </c>
    </row>
    <row r="184" spans="9:10" x14ac:dyDescent="0.25">
      <c r="I184" s="5">
        <v>187</v>
      </c>
      <c r="J184" s="5" t="s">
        <v>224</v>
      </c>
    </row>
    <row r="185" spans="9:10" x14ac:dyDescent="0.25">
      <c r="I185" s="5">
        <v>188</v>
      </c>
      <c r="J185" s="5" t="s">
        <v>155</v>
      </c>
    </row>
    <row r="186" spans="9:10" x14ac:dyDescent="0.25">
      <c r="I186" s="5">
        <v>189</v>
      </c>
      <c r="J186" s="5" t="s">
        <v>195</v>
      </c>
    </row>
    <row r="187" spans="9:10" x14ac:dyDescent="0.25">
      <c r="I187" s="5">
        <v>190</v>
      </c>
      <c r="J187" s="5" t="s">
        <v>196</v>
      </c>
    </row>
    <row r="188" spans="9:10" x14ac:dyDescent="0.25">
      <c r="I188" s="5">
        <v>191</v>
      </c>
      <c r="J188" s="5" t="s">
        <v>197</v>
      </c>
    </row>
    <row r="189" spans="9:10" x14ac:dyDescent="0.25">
      <c r="I189" s="5">
        <v>192</v>
      </c>
      <c r="J189" s="5" t="s">
        <v>363</v>
      </c>
    </row>
    <row r="190" spans="9:10" x14ac:dyDescent="0.25">
      <c r="I190" s="5">
        <v>193</v>
      </c>
      <c r="J190" s="5" t="s">
        <v>364</v>
      </c>
    </row>
    <row r="191" spans="9:10" x14ac:dyDescent="0.25">
      <c r="I191" s="5">
        <v>194</v>
      </c>
      <c r="J191" s="5" t="s">
        <v>182</v>
      </c>
    </row>
    <row r="192" spans="9:10" x14ac:dyDescent="0.25">
      <c r="I192" s="5">
        <v>195</v>
      </c>
      <c r="J192" s="5" t="s">
        <v>217</v>
      </c>
    </row>
    <row r="193" spans="9:10" x14ac:dyDescent="0.25">
      <c r="I193" s="5">
        <v>196</v>
      </c>
      <c r="J193" s="5" t="s">
        <v>225</v>
      </c>
    </row>
    <row r="194" spans="9:10" x14ac:dyDescent="0.25">
      <c r="I194" s="5">
        <v>197</v>
      </c>
      <c r="J194" s="5" t="s">
        <v>365</v>
      </c>
    </row>
    <row r="195" spans="9:10" x14ac:dyDescent="0.25">
      <c r="I195" s="5">
        <v>198</v>
      </c>
      <c r="J195" s="5" t="s">
        <v>366</v>
      </c>
    </row>
    <row r="196" spans="9:10" x14ac:dyDescent="0.25">
      <c r="I196" s="5">
        <v>199</v>
      </c>
      <c r="J196" s="5" t="s">
        <v>367</v>
      </c>
    </row>
    <row r="197" spans="9:10" x14ac:dyDescent="0.25">
      <c r="I197" s="5">
        <v>200</v>
      </c>
      <c r="J197" s="5" t="s">
        <v>368</v>
      </c>
    </row>
    <row r="198" spans="9:10" x14ac:dyDescent="0.25">
      <c r="I198" s="5">
        <v>201</v>
      </c>
      <c r="J198" s="5" t="s">
        <v>369</v>
      </c>
    </row>
    <row r="199" spans="9:10" x14ac:dyDescent="0.25">
      <c r="I199" s="5">
        <v>202</v>
      </c>
      <c r="J199" s="5" t="s">
        <v>370</v>
      </c>
    </row>
    <row r="200" spans="9:10" x14ac:dyDescent="0.25">
      <c r="I200" s="5">
        <v>203</v>
      </c>
      <c r="J200" s="5" t="s">
        <v>371</v>
      </c>
    </row>
    <row r="201" spans="9:10" x14ac:dyDescent="0.25">
      <c r="I201" s="5">
        <v>204</v>
      </c>
      <c r="J201" s="5" t="s">
        <v>206</v>
      </c>
    </row>
    <row r="202" spans="9:10" x14ac:dyDescent="0.25">
      <c r="I202" s="5">
        <v>205</v>
      </c>
      <c r="J202" s="5" t="s">
        <v>179</v>
      </c>
    </row>
    <row r="203" spans="9:10" x14ac:dyDescent="0.25">
      <c r="I203" s="5">
        <v>206</v>
      </c>
      <c r="J203" s="5" t="s">
        <v>372</v>
      </c>
    </row>
    <row r="204" spans="9:10" x14ac:dyDescent="0.25">
      <c r="I204" s="5">
        <v>207</v>
      </c>
      <c r="J204" s="5" t="s">
        <v>373</v>
      </c>
    </row>
    <row r="205" spans="9:10" x14ac:dyDescent="0.25">
      <c r="I205" s="5">
        <v>208</v>
      </c>
      <c r="J205" s="5" t="s">
        <v>374</v>
      </c>
    </row>
    <row r="206" spans="9:10" x14ac:dyDescent="0.25">
      <c r="I206" s="5">
        <v>209</v>
      </c>
      <c r="J206" s="5" t="s">
        <v>375</v>
      </c>
    </row>
    <row r="207" spans="9:10" x14ac:dyDescent="0.25">
      <c r="I207" s="5">
        <v>210</v>
      </c>
      <c r="J207" s="5" t="s">
        <v>77</v>
      </c>
    </row>
    <row r="208" spans="9:10" x14ac:dyDescent="0.25">
      <c r="I208" s="5">
        <v>211</v>
      </c>
      <c r="J208" s="5" t="s">
        <v>218</v>
      </c>
    </row>
    <row r="209" spans="9:10" x14ac:dyDescent="0.25">
      <c r="I209" s="5">
        <v>212</v>
      </c>
      <c r="J209" s="5" t="s">
        <v>376</v>
      </c>
    </row>
    <row r="210" spans="9:10" x14ac:dyDescent="0.25">
      <c r="I210" s="5">
        <v>213</v>
      </c>
      <c r="J210" s="5" t="s">
        <v>377</v>
      </c>
    </row>
    <row r="211" spans="9:10" x14ac:dyDescent="0.25">
      <c r="I211" s="5">
        <v>214</v>
      </c>
      <c r="J211" s="5" t="s">
        <v>203</v>
      </c>
    </row>
    <row r="212" spans="9:10" x14ac:dyDescent="0.25">
      <c r="I212" s="5">
        <v>215</v>
      </c>
      <c r="J212" s="5" t="s">
        <v>378</v>
      </c>
    </row>
    <row r="213" spans="9:10" x14ac:dyDescent="0.25">
      <c r="I213" s="5">
        <v>216</v>
      </c>
      <c r="J213" s="5" t="s">
        <v>379</v>
      </c>
    </row>
    <row r="214" spans="9:10" x14ac:dyDescent="0.25">
      <c r="I214" s="5">
        <v>217</v>
      </c>
      <c r="J214" s="5" t="s">
        <v>380</v>
      </c>
    </row>
    <row r="215" spans="9:10" x14ac:dyDescent="0.25">
      <c r="I215" s="5">
        <v>218</v>
      </c>
      <c r="J215" s="5" t="s">
        <v>158</v>
      </c>
    </row>
    <row r="216" spans="9:10" x14ac:dyDescent="0.25">
      <c r="I216" s="5">
        <v>219</v>
      </c>
      <c r="J216" s="5" t="s">
        <v>381</v>
      </c>
    </row>
    <row r="217" spans="9:10" x14ac:dyDescent="0.25">
      <c r="I217" s="5">
        <v>220</v>
      </c>
      <c r="J217" s="5" t="s">
        <v>382</v>
      </c>
    </row>
    <row r="218" spans="9:10" x14ac:dyDescent="0.25">
      <c r="I218" s="5">
        <v>221</v>
      </c>
      <c r="J218" s="5" t="s">
        <v>383</v>
      </c>
    </row>
    <row r="219" spans="9:10" x14ac:dyDescent="0.25">
      <c r="I219" s="5">
        <v>222</v>
      </c>
      <c r="J219" s="5" t="s">
        <v>384</v>
      </c>
    </row>
    <row r="220" spans="9:10" x14ac:dyDescent="0.25">
      <c r="I220" s="5">
        <v>223</v>
      </c>
      <c r="J220" s="5" t="s">
        <v>385</v>
      </c>
    </row>
    <row r="221" spans="9:10" x14ac:dyDescent="0.25">
      <c r="I221" s="5">
        <v>224</v>
      </c>
      <c r="J221" s="5" t="s">
        <v>386</v>
      </c>
    </row>
    <row r="222" spans="9:10" x14ac:dyDescent="0.25">
      <c r="I222" s="5">
        <v>225</v>
      </c>
      <c r="J222" s="5" t="s">
        <v>387</v>
      </c>
    </row>
    <row r="223" spans="9:10" x14ac:dyDescent="0.25">
      <c r="I223" s="5">
        <v>226</v>
      </c>
      <c r="J223" s="5" t="s">
        <v>388</v>
      </c>
    </row>
    <row r="224" spans="9:10" x14ac:dyDescent="0.25">
      <c r="I224" s="5">
        <v>227</v>
      </c>
      <c r="J224" s="5" t="s">
        <v>389</v>
      </c>
    </row>
    <row r="225" spans="9:10" x14ac:dyDescent="0.25">
      <c r="I225" s="5">
        <v>228</v>
      </c>
      <c r="J225" s="5" t="s">
        <v>126</v>
      </c>
    </row>
    <row r="226" spans="9:10" x14ac:dyDescent="0.25">
      <c r="I226" s="5">
        <v>229</v>
      </c>
      <c r="J226" s="5" t="s">
        <v>390</v>
      </c>
    </row>
    <row r="227" spans="9:10" x14ac:dyDescent="0.25">
      <c r="I227" s="5">
        <v>230</v>
      </c>
      <c r="J227" s="5" t="s">
        <v>391</v>
      </c>
    </row>
    <row r="228" spans="9:10" x14ac:dyDescent="0.25">
      <c r="I228" s="5">
        <v>231</v>
      </c>
      <c r="J228" s="5" t="s">
        <v>392</v>
      </c>
    </row>
    <row r="229" spans="9:10" x14ac:dyDescent="0.25">
      <c r="I229" s="5">
        <v>232</v>
      </c>
      <c r="J229" s="5" t="s">
        <v>393</v>
      </c>
    </row>
    <row r="230" spans="9:10" x14ac:dyDescent="0.25">
      <c r="I230" s="5">
        <v>233</v>
      </c>
      <c r="J230" s="5" t="s">
        <v>394</v>
      </c>
    </row>
    <row r="231" spans="9:10" x14ac:dyDescent="0.25">
      <c r="I231" s="5">
        <v>234</v>
      </c>
      <c r="J231" s="5" t="s">
        <v>395</v>
      </c>
    </row>
    <row r="232" spans="9:10" x14ac:dyDescent="0.25">
      <c r="I232" s="5">
        <v>235</v>
      </c>
      <c r="J232" s="5" t="s">
        <v>396</v>
      </c>
    </row>
    <row r="233" spans="9:10" x14ac:dyDescent="0.25">
      <c r="I233" s="5">
        <v>236</v>
      </c>
      <c r="J233" s="5" t="s">
        <v>397</v>
      </c>
    </row>
    <row r="234" spans="9:10" x14ac:dyDescent="0.25">
      <c r="I234" s="5">
        <v>237</v>
      </c>
      <c r="J234" s="5" t="s">
        <v>198</v>
      </c>
    </row>
    <row r="235" spans="9:10" x14ac:dyDescent="0.25">
      <c r="I235" s="5">
        <v>238</v>
      </c>
      <c r="J235" s="5" t="s">
        <v>398</v>
      </c>
    </row>
    <row r="236" spans="9:10" x14ac:dyDescent="0.25">
      <c r="I236" s="5">
        <v>239</v>
      </c>
      <c r="J236" s="5" t="s">
        <v>207</v>
      </c>
    </row>
    <row r="237" spans="9:10" x14ac:dyDescent="0.25">
      <c r="I237" s="5">
        <v>240</v>
      </c>
      <c r="J237" s="5" t="s">
        <v>399</v>
      </c>
    </row>
    <row r="238" spans="9:10" x14ac:dyDescent="0.25">
      <c r="I238" s="5">
        <v>241</v>
      </c>
      <c r="J238" s="5" t="s">
        <v>400</v>
      </c>
    </row>
    <row r="239" spans="9:10" x14ac:dyDescent="0.25">
      <c r="I239" s="5">
        <v>242</v>
      </c>
      <c r="J239" s="5" t="s">
        <v>401</v>
      </c>
    </row>
    <row r="240" spans="9:10" x14ac:dyDescent="0.25">
      <c r="I240" s="5">
        <v>243</v>
      </c>
      <c r="J240" s="5" t="s">
        <v>402</v>
      </c>
    </row>
    <row r="241" spans="9:10" x14ac:dyDescent="0.25">
      <c r="I241" s="5">
        <v>244</v>
      </c>
      <c r="J241" s="5" t="s">
        <v>403</v>
      </c>
    </row>
    <row r="242" spans="9:10" x14ac:dyDescent="0.25">
      <c r="I242" s="5">
        <v>245</v>
      </c>
      <c r="J242" s="5" t="s">
        <v>404</v>
      </c>
    </row>
    <row r="243" spans="9:10" x14ac:dyDescent="0.25">
      <c r="I243" s="5">
        <v>246</v>
      </c>
      <c r="J243" s="5" t="s">
        <v>405</v>
      </c>
    </row>
    <row r="244" spans="9:10" x14ac:dyDescent="0.25">
      <c r="I244" s="5">
        <v>247</v>
      </c>
      <c r="J244" s="5" t="s">
        <v>406</v>
      </c>
    </row>
    <row r="245" spans="9:10" x14ac:dyDescent="0.25">
      <c r="I245" s="5">
        <v>248</v>
      </c>
      <c r="J245" s="5" t="s">
        <v>407</v>
      </c>
    </row>
    <row r="246" spans="9:10" x14ac:dyDescent="0.25">
      <c r="I246" s="5">
        <v>249</v>
      </c>
      <c r="J246" s="5" t="s">
        <v>408</v>
      </c>
    </row>
    <row r="247" spans="9:10" x14ac:dyDescent="0.25">
      <c r="I247" s="5">
        <v>250</v>
      </c>
      <c r="J247" s="5" t="s">
        <v>409</v>
      </c>
    </row>
    <row r="248" spans="9:10" x14ac:dyDescent="0.25">
      <c r="I248" s="5">
        <v>251</v>
      </c>
      <c r="J248" s="5" t="s">
        <v>410</v>
      </c>
    </row>
    <row r="249" spans="9:10" x14ac:dyDescent="0.25">
      <c r="I249" s="5">
        <v>252</v>
      </c>
      <c r="J249" s="5" t="s">
        <v>411</v>
      </c>
    </row>
    <row r="250" spans="9:10" x14ac:dyDescent="0.25">
      <c r="I250" s="5">
        <v>253</v>
      </c>
      <c r="J250" s="5" t="s">
        <v>210</v>
      </c>
    </row>
    <row r="251" spans="9:10" x14ac:dyDescent="0.25">
      <c r="I251" s="5">
        <v>254</v>
      </c>
      <c r="J251" s="5" t="s">
        <v>211</v>
      </c>
    </row>
    <row r="252" spans="9:10" x14ac:dyDescent="0.25">
      <c r="I252" s="5">
        <v>255</v>
      </c>
      <c r="J252" s="5" t="s">
        <v>412</v>
      </c>
    </row>
    <row r="253" spans="9:10" x14ac:dyDescent="0.25">
      <c r="I253" s="5">
        <v>256</v>
      </c>
      <c r="J253" s="5" t="s">
        <v>413</v>
      </c>
    </row>
    <row r="254" spans="9:10" x14ac:dyDescent="0.25">
      <c r="I254" s="5">
        <v>257</v>
      </c>
      <c r="J254" s="5" t="s">
        <v>188</v>
      </c>
    </row>
    <row r="255" spans="9:10" x14ac:dyDescent="0.25">
      <c r="I255" s="5">
        <v>258</v>
      </c>
      <c r="J255" s="5" t="s">
        <v>414</v>
      </c>
    </row>
    <row r="256" spans="9:10" x14ac:dyDescent="0.25">
      <c r="I256" s="5">
        <v>259</v>
      </c>
      <c r="J256" s="5" t="s">
        <v>415</v>
      </c>
    </row>
    <row r="257" spans="9:10" x14ac:dyDescent="0.25">
      <c r="I257" s="5">
        <v>260</v>
      </c>
      <c r="J257" s="5" t="s">
        <v>172</v>
      </c>
    </row>
    <row r="258" spans="9:10" x14ac:dyDescent="0.25">
      <c r="I258" s="5">
        <v>261</v>
      </c>
      <c r="J258" s="5" t="s">
        <v>416</v>
      </c>
    </row>
    <row r="259" spans="9:10" x14ac:dyDescent="0.25">
      <c r="I259" s="5">
        <v>262</v>
      </c>
      <c r="J259" s="5" t="s">
        <v>417</v>
      </c>
    </row>
    <row r="260" spans="9:10" x14ac:dyDescent="0.25">
      <c r="I260" s="5">
        <v>263</v>
      </c>
      <c r="J260" s="5" t="s">
        <v>418</v>
      </c>
    </row>
    <row r="261" spans="9:10" x14ac:dyDescent="0.25">
      <c r="I261" s="5">
        <v>264</v>
      </c>
      <c r="J261" s="5" t="s">
        <v>419</v>
      </c>
    </row>
    <row r="262" spans="9:10" x14ac:dyDescent="0.25">
      <c r="I262" s="5">
        <v>265</v>
      </c>
      <c r="J262" s="5" t="s">
        <v>212</v>
      </c>
    </row>
    <row r="263" spans="9:10" x14ac:dyDescent="0.25">
      <c r="I263" s="5">
        <v>266</v>
      </c>
      <c r="J263" s="5" t="s">
        <v>420</v>
      </c>
    </row>
    <row r="264" spans="9:10" x14ac:dyDescent="0.25">
      <c r="I264" s="5">
        <v>267</v>
      </c>
      <c r="J264" s="5" t="s">
        <v>421</v>
      </c>
    </row>
    <row r="265" spans="9:10" x14ac:dyDescent="0.25">
      <c r="I265" s="5">
        <v>268</v>
      </c>
      <c r="J265" s="5" t="s">
        <v>159</v>
      </c>
    </row>
    <row r="266" spans="9:10" x14ac:dyDescent="0.25">
      <c r="I266" s="5">
        <v>269</v>
      </c>
      <c r="J266" s="5" t="s">
        <v>422</v>
      </c>
    </row>
    <row r="267" spans="9:10" x14ac:dyDescent="0.25">
      <c r="I267" s="5">
        <v>270</v>
      </c>
      <c r="J267" s="5" t="s">
        <v>213</v>
      </c>
    </row>
    <row r="268" spans="9:10" x14ac:dyDescent="0.25">
      <c r="I268" s="5">
        <v>271</v>
      </c>
      <c r="J268" s="5" t="s">
        <v>423</v>
      </c>
    </row>
    <row r="269" spans="9:10" x14ac:dyDescent="0.25">
      <c r="I269" s="5">
        <v>272</v>
      </c>
      <c r="J269" s="5" t="s">
        <v>199</v>
      </c>
    </row>
    <row r="270" spans="9:10" x14ac:dyDescent="0.25">
      <c r="I270" s="5">
        <v>273</v>
      </c>
      <c r="J270" s="5" t="s">
        <v>424</v>
      </c>
    </row>
    <row r="271" spans="9:10" x14ac:dyDescent="0.25">
      <c r="I271" s="5">
        <v>274</v>
      </c>
      <c r="J271" s="5" t="s">
        <v>425</v>
      </c>
    </row>
    <row r="272" spans="9:10" x14ac:dyDescent="0.25">
      <c r="I272" s="5">
        <v>275</v>
      </c>
      <c r="J272" s="5" t="s">
        <v>426</v>
      </c>
    </row>
    <row r="273" spans="9:10" x14ac:dyDescent="0.25">
      <c r="I273" s="5">
        <v>276</v>
      </c>
      <c r="J273" s="5" t="s">
        <v>427</v>
      </c>
    </row>
    <row r="274" spans="9:10" x14ac:dyDescent="0.25">
      <c r="I274" s="5">
        <v>277</v>
      </c>
      <c r="J274" s="5" t="s">
        <v>428</v>
      </c>
    </row>
    <row r="275" spans="9:10" x14ac:dyDescent="0.25">
      <c r="I275" s="5">
        <v>278</v>
      </c>
      <c r="J275" s="5" t="s">
        <v>429</v>
      </c>
    </row>
    <row r="276" spans="9:10" x14ac:dyDescent="0.25">
      <c r="I276" s="5">
        <v>279</v>
      </c>
      <c r="J276" s="5" t="s">
        <v>430</v>
      </c>
    </row>
    <row r="277" spans="9:10" x14ac:dyDescent="0.25">
      <c r="I277" s="5">
        <v>280</v>
      </c>
      <c r="J277" s="5" t="s">
        <v>431</v>
      </c>
    </row>
    <row r="278" spans="9:10" x14ac:dyDescent="0.25">
      <c r="I278" s="5">
        <v>281</v>
      </c>
      <c r="J278" s="5" t="s">
        <v>432</v>
      </c>
    </row>
    <row r="279" spans="9:10" x14ac:dyDescent="0.25">
      <c r="I279" s="5">
        <v>282</v>
      </c>
      <c r="J279" s="5" t="s">
        <v>433</v>
      </c>
    </row>
    <row r="280" spans="9:10" x14ac:dyDescent="0.25">
      <c r="I280" s="5">
        <v>283</v>
      </c>
      <c r="J280" s="5" t="s">
        <v>214</v>
      </c>
    </row>
    <row r="281" spans="9:10" x14ac:dyDescent="0.25">
      <c r="I281" s="5">
        <v>284</v>
      </c>
      <c r="J281" s="5" t="s">
        <v>434</v>
      </c>
    </row>
    <row r="282" spans="9:10" x14ac:dyDescent="0.25">
      <c r="I282" s="5">
        <v>285</v>
      </c>
      <c r="J282" s="5" t="s">
        <v>215</v>
      </c>
    </row>
    <row r="283" spans="9:10" x14ac:dyDescent="0.25">
      <c r="I283" s="5">
        <v>286</v>
      </c>
      <c r="J283" s="5" t="s">
        <v>435</v>
      </c>
    </row>
    <row r="284" spans="9:10" x14ac:dyDescent="0.25">
      <c r="I284" s="5">
        <v>287</v>
      </c>
      <c r="J284" s="5" t="s">
        <v>436</v>
      </c>
    </row>
    <row r="285" spans="9:10" x14ac:dyDescent="0.25">
      <c r="I285" s="5">
        <v>288</v>
      </c>
      <c r="J285" s="5" t="s">
        <v>437</v>
      </c>
    </row>
    <row r="286" spans="9:10" x14ac:dyDescent="0.25">
      <c r="I286" s="5">
        <v>289</v>
      </c>
      <c r="J286" s="5" t="s">
        <v>438</v>
      </c>
    </row>
    <row r="287" spans="9:10" x14ac:dyDescent="0.25">
      <c r="I287" s="5">
        <v>290</v>
      </c>
      <c r="J287" s="5" t="s">
        <v>439</v>
      </c>
    </row>
    <row r="288" spans="9:10" x14ac:dyDescent="0.25">
      <c r="I288" s="5">
        <v>291</v>
      </c>
      <c r="J288" s="5" t="s">
        <v>440</v>
      </c>
    </row>
    <row r="289" spans="9:10" x14ac:dyDescent="0.25">
      <c r="I289" s="5">
        <v>292</v>
      </c>
      <c r="J289" s="5" t="s">
        <v>189</v>
      </c>
    </row>
    <row r="290" spans="9:10" x14ac:dyDescent="0.25">
      <c r="I290" s="5">
        <v>293</v>
      </c>
      <c r="J290" s="5" t="s">
        <v>219</v>
      </c>
    </row>
    <row r="291" spans="9:10" x14ac:dyDescent="0.25">
      <c r="I291" s="5">
        <v>294</v>
      </c>
      <c r="J291" s="5" t="s">
        <v>441</v>
      </c>
    </row>
    <row r="292" spans="9:10" x14ac:dyDescent="0.25">
      <c r="I292" s="5">
        <v>295</v>
      </c>
      <c r="J292" s="5" t="s">
        <v>190</v>
      </c>
    </row>
    <row r="293" spans="9:10" x14ac:dyDescent="0.25">
      <c r="I293" s="5">
        <v>296</v>
      </c>
      <c r="J293" s="5" t="s">
        <v>442</v>
      </c>
    </row>
    <row r="294" spans="9:10" x14ac:dyDescent="0.25">
      <c r="I294" s="5">
        <v>297</v>
      </c>
      <c r="J294" s="5" t="s">
        <v>112</v>
      </c>
    </row>
    <row r="295" spans="9:10" x14ac:dyDescent="0.25">
      <c r="I295" s="5">
        <v>298</v>
      </c>
      <c r="J295" s="5" t="s">
        <v>443</v>
      </c>
    </row>
    <row r="296" spans="9:10" x14ac:dyDescent="0.25">
      <c r="I296" s="5">
        <v>299</v>
      </c>
      <c r="J296" s="5" t="s">
        <v>444</v>
      </c>
    </row>
    <row r="297" spans="9:10" x14ac:dyDescent="0.25">
      <c r="I297" s="5">
        <v>300</v>
      </c>
      <c r="J297" s="5" t="s">
        <v>192</v>
      </c>
    </row>
    <row r="298" spans="9:10" x14ac:dyDescent="0.25">
      <c r="I298" s="5">
        <v>301</v>
      </c>
      <c r="J298" s="5" t="s">
        <v>445</v>
      </c>
    </row>
    <row r="299" spans="9:10" x14ac:dyDescent="0.25">
      <c r="I299" s="5">
        <v>302</v>
      </c>
      <c r="J299" s="5" t="s">
        <v>446</v>
      </c>
    </row>
    <row r="300" spans="9:10" x14ac:dyDescent="0.25">
      <c r="I300" s="5">
        <v>303</v>
      </c>
      <c r="J300" s="5" t="s">
        <v>200</v>
      </c>
    </row>
    <row r="301" spans="9:10" x14ac:dyDescent="0.25">
      <c r="I301" s="5">
        <v>304</v>
      </c>
      <c r="J301" s="5" t="s">
        <v>447</v>
      </c>
    </row>
    <row r="302" spans="9:10" x14ac:dyDescent="0.25">
      <c r="I302" s="5">
        <v>305</v>
      </c>
      <c r="J302" s="5" t="s">
        <v>448</v>
      </c>
    </row>
    <row r="303" spans="9:10" x14ac:dyDescent="0.25">
      <c r="I303" s="5">
        <v>306</v>
      </c>
      <c r="J303" s="5" t="s">
        <v>160</v>
      </c>
    </row>
    <row r="304" spans="9:10" x14ac:dyDescent="0.25">
      <c r="I304" s="5">
        <v>307</v>
      </c>
      <c r="J304" s="5" t="s">
        <v>449</v>
      </c>
    </row>
    <row r="305" spans="9:10" x14ac:dyDescent="0.25">
      <c r="I305" s="5">
        <v>308</v>
      </c>
      <c r="J305" s="5" t="s">
        <v>139</v>
      </c>
    </row>
    <row r="306" spans="9:10" x14ac:dyDescent="0.25">
      <c r="I306" s="5">
        <v>309</v>
      </c>
      <c r="J306" s="5" t="s">
        <v>450</v>
      </c>
    </row>
    <row r="307" spans="9:10" x14ac:dyDescent="0.25">
      <c r="I307" s="5">
        <v>310</v>
      </c>
      <c r="J307" s="5" t="s">
        <v>451</v>
      </c>
    </row>
    <row r="308" spans="9:10" x14ac:dyDescent="0.25">
      <c r="I308" s="5">
        <v>311</v>
      </c>
      <c r="J308" s="5" t="s">
        <v>452</v>
      </c>
    </row>
    <row r="309" spans="9:10" x14ac:dyDescent="0.25">
      <c r="I309" s="5">
        <v>312</v>
      </c>
      <c r="J309" s="5" t="s">
        <v>453</v>
      </c>
    </row>
    <row r="310" spans="9:10" x14ac:dyDescent="0.25">
      <c r="I310" s="5">
        <v>313</v>
      </c>
      <c r="J310" s="5" t="s">
        <v>183</v>
      </c>
    </row>
    <row r="311" spans="9:10" x14ac:dyDescent="0.25">
      <c r="I311" s="5">
        <v>314</v>
      </c>
      <c r="J311" s="5" t="s">
        <v>113</v>
      </c>
    </row>
    <row r="312" spans="9:10" x14ac:dyDescent="0.25">
      <c r="I312" s="5">
        <v>315</v>
      </c>
      <c r="J312" s="5" t="s">
        <v>114</v>
      </c>
    </row>
    <row r="313" spans="9:10" x14ac:dyDescent="0.25">
      <c r="I313" s="5">
        <v>316</v>
      </c>
      <c r="J313" s="5" t="s">
        <v>454</v>
      </c>
    </row>
    <row r="314" spans="9:10" x14ac:dyDescent="0.25">
      <c r="I314" s="5">
        <v>317</v>
      </c>
      <c r="J314" s="5" t="s">
        <v>455</v>
      </c>
    </row>
    <row r="315" spans="9:10" x14ac:dyDescent="0.25">
      <c r="I315" s="5">
        <v>318</v>
      </c>
      <c r="J315" s="5" t="s">
        <v>456</v>
      </c>
    </row>
    <row r="316" spans="9:10" x14ac:dyDescent="0.25">
      <c r="I316" s="5">
        <v>319</v>
      </c>
      <c r="J316" s="5" t="s">
        <v>457</v>
      </c>
    </row>
    <row r="317" spans="9:10" x14ac:dyDescent="0.25">
      <c r="I317" s="5">
        <v>320</v>
      </c>
      <c r="J317" s="5" t="s">
        <v>458</v>
      </c>
    </row>
    <row r="318" spans="9:10" x14ac:dyDescent="0.25">
      <c r="I318" s="5">
        <v>321</v>
      </c>
      <c r="J318" s="5" t="s">
        <v>459</v>
      </c>
    </row>
    <row r="319" spans="9:10" x14ac:dyDescent="0.25">
      <c r="I319" s="5">
        <v>322</v>
      </c>
      <c r="J319" s="5" t="s">
        <v>460</v>
      </c>
    </row>
    <row r="320" spans="9:10" x14ac:dyDescent="0.25">
      <c r="I320" s="5">
        <v>323</v>
      </c>
      <c r="J320" s="5" t="s">
        <v>162</v>
      </c>
    </row>
    <row r="321" spans="9:10" x14ac:dyDescent="0.25">
      <c r="I321" s="5">
        <v>324</v>
      </c>
      <c r="J321" s="5" t="s">
        <v>180</v>
      </c>
    </row>
    <row r="322" spans="9:10" x14ac:dyDescent="0.25">
      <c r="I322" s="5">
        <v>325</v>
      </c>
      <c r="J322" s="5" t="s">
        <v>461</v>
      </c>
    </row>
    <row r="323" spans="9:10" x14ac:dyDescent="0.25">
      <c r="I323" s="5">
        <v>326</v>
      </c>
      <c r="J323" s="5" t="s">
        <v>462</v>
      </c>
    </row>
    <row r="324" spans="9:10" x14ac:dyDescent="0.25">
      <c r="I324" s="5">
        <v>327</v>
      </c>
      <c r="J324" s="5" t="s">
        <v>463</v>
      </c>
    </row>
    <row r="325" spans="9:10" x14ac:dyDescent="0.25">
      <c r="I325" s="5">
        <v>328</v>
      </c>
      <c r="J325" s="5" t="s">
        <v>56</v>
      </c>
    </row>
    <row r="326" spans="9:10" x14ac:dyDescent="0.25">
      <c r="I326" s="5">
        <v>329</v>
      </c>
      <c r="J326" s="5" t="s">
        <v>464</v>
      </c>
    </row>
    <row r="327" spans="9:10" x14ac:dyDescent="0.25">
      <c r="I327" s="5">
        <v>330</v>
      </c>
      <c r="J327" s="5" t="s">
        <v>465</v>
      </c>
    </row>
    <row r="328" spans="9:10" x14ac:dyDescent="0.25">
      <c r="I328" s="5">
        <v>331</v>
      </c>
      <c r="J328" s="5" t="s">
        <v>117</v>
      </c>
    </row>
    <row r="329" spans="9:10" x14ac:dyDescent="0.25">
      <c r="I329" s="5">
        <v>332</v>
      </c>
      <c r="J329" s="5" t="s">
        <v>466</v>
      </c>
    </row>
    <row r="330" spans="9:10" x14ac:dyDescent="0.25">
      <c r="I330" s="5">
        <v>333</v>
      </c>
      <c r="J330" s="5" t="s">
        <v>467</v>
      </c>
    </row>
    <row r="331" spans="9:10" x14ac:dyDescent="0.25">
      <c r="I331" s="5">
        <v>334</v>
      </c>
      <c r="J331" s="5" t="s">
        <v>468</v>
      </c>
    </row>
    <row r="332" spans="9:10" x14ac:dyDescent="0.25">
      <c r="I332" s="5">
        <v>335</v>
      </c>
      <c r="J332" s="5" t="s">
        <v>469</v>
      </c>
    </row>
    <row r="333" spans="9:10" x14ac:dyDescent="0.25">
      <c r="I333" s="5">
        <v>336</v>
      </c>
      <c r="J333" s="5" t="s">
        <v>470</v>
      </c>
    </row>
    <row r="334" spans="9:10" x14ac:dyDescent="0.25">
      <c r="I334" s="5">
        <v>337</v>
      </c>
      <c r="J334" s="5" t="s">
        <v>142</v>
      </c>
    </row>
    <row r="335" spans="9:10" x14ac:dyDescent="0.25">
      <c r="I335" s="5">
        <v>338</v>
      </c>
      <c r="J335" s="5" t="s">
        <v>471</v>
      </c>
    </row>
    <row r="336" spans="9:10" x14ac:dyDescent="0.25">
      <c r="I336" s="5">
        <v>339</v>
      </c>
      <c r="J336" s="5" t="s">
        <v>472</v>
      </c>
    </row>
    <row r="337" spans="9:10" x14ac:dyDescent="0.25">
      <c r="I337" s="5">
        <v>340</v>
      </c>
      <c r="J337" s="5" t="s">
        <v>473</v>
      </c>
    </row>
    <row r="338" spans="9:10" x14ac:dyDescent="0.25">
      <c r="I338" s="5">
        <v>341</v>
      </c>
      <c r="J338" s="5" t="s">
        <v>474</v>
      </c>
    </row>
    <row r="339" spans="9:10" x14ac:dyDescent="0.25">
      <c r="I339" s="5">
        <v>342</v>
      </c>
      <c r="J339" s="5" t="s">
        <v>475</v>
      </c>
    </row>
    <row r="340" spans="9:10" x14ac:dyDescent="0.25">
      <c r="I340" s="5">
        <v>343</v>
      </c>
      <c r="J340" s="5" t="s">
        <v>476</v>
      </c>
    </row>
    <row r="341" spans="9:10" x14ac:dyDescent="0.25">
      <c r="I341" s="5">
        <v>344</v>
      </c>
      <c r="J341" s="5" t="s">
        <v>477</v>
      </c>
    </row>
    <row r="342" spans="9:10" x14ac:dyDescent="0.25">
      <c r="I342" s="5">
        <v>345</v>
      </c>
      <c r="J342" s="5" t="s">
        <v>478</v>
      </c>
    </row>
    <row r="343" spans="9:10" x14ac:dyDescent="0.25">
      <c r="I343" s="5">
        <v>346</v>
      </c>
      <c r="J343" s="5" t="s">
        <v>163</v>
      </c>
    </row>
    <row r="344" spans="9:10" x14ac:dyDescent="0.25">
      <c r="I344" s="5">
        <v>347</v>
      </c>
      <c r="J344" s="5" t="s">
        <v>164</v>
      </c>
    </row>
    <row r="345" spans="9:10" x14ac:dyDescent="0.25">
      <c r="I345" s="5">
        <v>348</v>
      </c>
      <c r="J345" s="5" t="s">
        <v>479</v>
      </c>
    </row>
    <row r="346" spans="9:10" x14ac:dyDescent="0.25">
      <c r="I346" s="5">
        <v>349</v>
      </c>
      <c r="J346" s="5" t="s">
        <v>165</v>
      </c>
    </row>
    <row r="347" spans="9:10" x14ac:dyDescent="0.25">
      <c r="I347" s="5">
        <v>350</v>
      </c>
      <c r="J347" s="5" t="s">
        <v>480</v>
      </c>
    </row>
    <row r="348" spans="9:10" x14ac:dyDescent="0.25">
      <c r="I348" s="5">
        <v>351</v>
      </c>
      <c r="J348" s="5" t="s">
        <v>481</v>
      </c>
    </row>
    <row r="349" spans="9:10" x14ac:dyDescent="0.25">
      <c r="I349" s="5">
        <v>352</v>
      </c>
      <c r="J349" s="5" t="s">
        <v>482</v>
      </c>
    </row>
    <row r="350" spans="9:10" x14ac:dyDescent="0.25">
      <c r="I350" s="5">
        <v>353</v>
      </c>
      <c r="J350" s="5" t="s">
        <v>201</v>
      </c>
    </row>
    <row r="351" spans="9:10" x14ac:dyDescent="0.25">
      <c r="I351" s="5">
        <v>354</v>
      </c>
      <c r="J351" s="5" t="s">
        <v>220</v>
      </c>
    </row>
    <row r="352" spans="9:10" x14ac:dyDescent="0.25">
      <c r="I352" s="5">
        <v>355</v>
      </c>
      <c r="J352" s="5" t="s">
        <v>226</v>
      </c>
    </row>
    <row r="353" spans="9:10" x14ac:dyDescent="0.25">
      <c r="I353" s="5">
        <v>356</v>
      </c>
      <c r="J353" s="5" t="s">
        <v>483</v>
      </c>
    </row>
    <row r="354" spans="9:10" x14ac:dyDescent="0.25">
      <c r="I354" s="5">
        <v>357</v>
      </c>
      <c r="J354" s="5" t="s">
        <v>484</v>
      </c>
    </row>
    <row r="355" spans="9:10" x14ac:dyDescent="0.25">
      <c r="I355" s="5">
        <v>358</v>
      </c>
      <c r="J355" s="5" t="s">
        <v>227</v>
      </c>
    </row>
    <row r="356" spans="9:10" x14ac:dyDescent="0.25">
      <c r="I356" s="5">
        <v>359</v>
      </c>
      <c r="J356" s="5" t="s">
        <v>118</v>
      </c>
    </row>
    <row r="357" spans="9:10" x14ac:dyDescent="0.25">
      <c r="I357" s="5">
        <v>360</v>
      </c>
      <c r="J357" s="5" t="s">
        <v>485</v>
      </c>
    </row>
    <row r="358" spans="9:10" x14ac:dyDescent="0.25">
      <c r="I358" s="5">
        <v>361</v>
      </c>
      <c r="J358" s="5" t="s">
        <v>119</v>
      </c>
    </row>
    <row r="359" spans="9:10" x14ac:dyDescent="0.25">
      <c r="I359" s="5">
        <v>362</v>
      </c>
      <c r="J359" s="5" t="s">
        <v>176</v>
      </c>
    </row>
  </sheetData>
  <sheetProtection selectLockedCells="1"/>
  <dataValidations count="1">
    <dataValidation type="whole" operator="notEqual" allowBlank="1" showInputMessage="1" showErrorMessage="1" sqref="AT2:AT21" xr:uid="{28F71BF9-6767-4CF4-8C79-D1C6C15BDE37}">
      <formula1>1</formula1>
    </dataValidation>
  </dataValidation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58F31-F7CC-43F2-8EE6-FA53E097862D}">
  <sheetPr codeName="Planilha1"/>
  <dimension ref="A1:Q2"/>
  <sheetViews>
    <sheetView showGridLines="0" showRowColHeaders="0" zoomScale="95" zoomScaleNormal="95" workbookViewId="0">
      <selection activeCell="A2" sqref="A2"/>
    </sheetView>
  </sheetViews>
  <sheetFormatPr defaultRowHeight="15" x14ac:dyDescent="0.25"/>
  <cols>
    <col min="1" max="1" width="6.85546875" style="60" bestFit="1" customWidth="1"/>
    <col min="2" max="2" width="10" style="60" bestFit="1" customWidth="1"/>
    <col min="3" max="3" width="9" style="60" bestFit="1" customWidth="1"/>
    <col min="4" max="4" width="9.42578125" style="60" customWidth="1"/>
    <col min="5" max="5" width="23" style="60" bestFit="1" customWidth="1"/>
    <col min="6" max="6" width="15.28515625" style="60" bestFit="1" customWidth="1"/>
    <col min="7" max="7" width="9.85546875" style="60" bestFit="1" customWidth="1"/>
    <col min="8" max="8" width="13.140625" style="60" bestFit="1" customWidth="1"/>
    <col min="9" max="9" width="7" style="60" bestFit="1" customWidth="1"/>
    <col min="10" max="10" width="4.7109375" style="60" customWidth="1"/>
    <col min="11" max="11" width="4.140625" style="60" bestFit="1" customWidth="1"/>
    <col min="12" max="12" width="13.42578125" style="60" bestFit="1" customWidth="1"/>
    <col min="13" max="13" width="7.42578125" style="60" bestFit="1" customWidth="1"/>
    <col min="14" max="14" width="7.5703125" style="60" bestFit="1" customWidth="1"/>
    <col min="15" max="15" width="7.7109375" style="60" bestFit="1" customWidth="1"/>
    <col min="16" max="16" width="6" style="60" bestFit="1" customWidth="1"/>
    <col min="17" max="17" width="10.7109375" style="60" bestFit="1" customWidth="1"/>
    <col min="18" max="18" width="9.42578125" style="60" bestFit="1" customWidth="1"/>
    <col min="19" max="16384" width="9.140625" style="60"/>
  </cols>
  <sheetData>
    <row r="1" spans="1:17" x14ac:dyDescent="0.25">
      <c r="A1" s="60" t="s">
        <v>5</v>
      </c>
      <c r="B1" s="60" t="s">
        <v>640</v>
      </c>
      <c r="C1" s="60" t="s">
        <v>642</v>
      </c>
      <c r="D1" s="60" t="s">
        <v>641</v>
      </c>
      <c r="E1" s="60" t="s">
        <v>643</v>
      </c>
      <c r="F1" s="60" t="s">
        <v>765</v>
      </c>
      <c r="G1" s="60" t="s">
        <v>766</v>
      </c>
      <c r="H1" s="60" t="s">
        <v>810</v>
      </c>
      <c r="I1" s="60" t="s">
        <v>653</v>
      </c>
      <c r="J1" s="60" t="s">
        <v>761</v>
      </c>
      <c r="K1" s="60" t="s">
        <v>762</v>
      </c>
      <c r="L1" s="60" t="s">
        <v>811</v>
      </c>
      <c r="M1" s="60" t="s">
        <v>757</v>
      </c>
      <c r="N1" s="60" t="s">
        <v>758</v>
      </c>
      <c r="O1" s="60" t="s">
        <v>498</v>
      </c>
      <c r="P1" s="60" t="s">
        <v>656</v>
      </c>
      <c r="Q1" s="60" t="s">
        <v>729</v>
      </c>
    </row>
    <row r="2" spans="1:17" x14ac:dyDescent="0.25">
      <c r="Q2" s="63"/>
    </row>
  </sheetData>
  <sheetProtection selectLockedCells="1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FD3F3-58A0-4F49-97EE-08E44512FFB4}">
  <sheetPr codeName="Planilha6"/>
  <dimension ref="A1:O501"/>
  <sheetViews>
    <sheetView zoomScale="91" zoomScaleNormal="91" workbookViewId="0">
      <selection activeCell="C2" sqref="C2"/>
    </sheetView>
  </sheetViews>
  <sheetFormatPr defaultRowHeight="15.75" x14ac:dyDescent="0.25"/>
  <cols>
    <col min="1" max="1" width="28.28515625" style="62" bestFit="1" customWidth="1"/>
    <col min="2" max="2" width="13.42578125" style="62" bestFit="1" customWidth="1"/>
    <col min="3" max="3" width="27" style="62" bestFit="1" customWidth="1"/>
    <col min="4" max="4" width="30.28515625" style="62" bestFit="1" customWidth="1"/>
    <col min="5" max="5" width="15.140625" style="62" bestFit="1" customWidth="1"/>
    <col min="6" max="6" width="21.140625" style="62" bestFit="1" customWidth="1"/>
    <col min="7" max="7" width="12.28515625" style="62" customWidth="1"/>
    <col min="8" max="8" width="24.5703125" style="62" bestFit="1" customWidth="1"/>
    <col min="9" max="9" width="8.28515625" style="62" bestFit="1" customWidth="1"/>
    <col min="10" max="10" width="9.7109375" style="62" bestFit="1" customWidth="1"/>
    <col min="11" max="11" width="11.7109375" style="62" bestFit="1" customWidth="1"/>
    <col min="12" max="16384" width="9.140625" style="60"/>
  </cols>
  <sheetData>
    <row r="1" spans="1:15" x14ac:dyDescent="0.25">
      <c r="A1" s="4" t="s">
        <v>617</v>
      </c>
      <c r="B1" s="4" t="s">
        <v>14</v>
      </c>
      <c r="C1" s="4" t="s">
        <v>618</v>
      </c>
      <c r="D1" s="4" t="s">
        <v>619</v>
      </c>
      <c r="E1" s="4" t="s">
        <v>620</v>
      </c>
      <c r="F1" s="4" t="s">
        <v>817</v>
      </c>
      <c r="G1" s="4" t="s">
        <v>621</v>
      </c>
      <c r="H1" s="4" t="s">
        <v>622</v>
      </c>
      <c r="I1" s="4" t="s">
        <v>623</v>
      </c>
      <c r="J1" s="4" t="s">
        <v>624</v>
      </c>
      <c r="K1" s="4" t="s">
        <v>625</v>
      </c>
      <c r="N1" s="61" t="s">
        <v>738</v>
      </c>
      <c r="O1" s="60">
        <f>500-COUNTBLANK(B2:B501)</f>
        <v>0</v>
      </c>
    </row>
    <row r="2" spans="1:15" x14ac:dyDescent="0.25">
      <c r="A2" s="62" t="str">
        <f>Biometria!A12</f>
        <v>__011900</v>
      </c>
      <c r="B2" s="62" t="str">
        <f>IF(LEN(Biometria!B12)=0,"",Biometria!B12)</f>
        <v/>
      </c>
      <c r="C2" s="62" t="str">
        <f>IF(Biometria!C12=0,"",Biometria!C12)</f>
        <v/>
      </c>
      <c r="D2" s="62" t="str">
        <f>IF(Biometria!D12=0,"",Biometria!D12)</f>
        <v/>
      </c>
      <c r="E2" s="62" t="str">
        <f>IF(Biometria!E12=0,"",Biometria!E12)</f>
        <v/>
      </c>
      <c r="F2" s="62" t="str">
        <f>IF(Biometria!F12=0,"",Biometria!F12)</f>
        <v/>
      </c>
      <c r="G2" s="62" t="str">
        <f>IF(Biometria!G12=0,"",Biometria!G12)</f>
        <v/>
      </c>
      <c r="H2" s="62" t="str">
        <f>IF(Biometria!H12=0,"",Biometria!H12)</f>
        <v/>
      </c>
      <c r="I2" s="62" t="str">
        <f>IF(Biometria!I12=0,"",Biometria!I12)</f>
        <v/>
      </c>
      <c r="J2" s="62" t="str">
        <f>IF(Biometria!J12=0,"",Biometria!J12)</f>
        <v/>
      </c>
      <c r="K2" s="62" t="str">
        <f>IF(Biometria!K12=0,"",Biometria!K12)</f>
        <v/>
      </c>
    </row>
    <row r="3" spans="1:15" x14ac:dyDescent="0.25">
      <c r="A3" s="62" t="str">
        <f>IF(LEN(B2)&gt;0,Biometria!A13,"")</f>
        <v/>
      </c>
      <c r="B3" s="62" t="str">
        <f>IF(LEN(Biometria!B13)=0,"",Biometria!B13)</f>
        <v/>
      </c>
      <c r="C3" s="62" t="str">
        <f>IF(Biometria!C13=0,"",Biometria!C13)</f>
        <v/>
      </c>
      <c r="D3" s="62" t="str">
        <f>IF(Biometria!D13=0,"",Biometria!D13)</f>
        <v/>
      </c>
      <c r="E3" s="62" t="str">
        <f>IF(Biometria!E13=0,"",Biometria!E13)</f>
        <v/>
      </c>
      <c r="F3" s="62" t="str">
        <f>IF(Biometria!F13=0,"",Biometria!F13)</f>
        <v/>
      </c>
      <c r="G3" s="62" t="str">
        <f>IF(Biometria!G13=0,"",Biometria!G13)</f>
        <v/>
      </c>
      <c r="H3" s="62" t="str">
        <f>IF(Biometria!H13=0,"",Biometria!H13)</f>
        <v/>
      </c>
      <c r="I3" s="62" t="str">
        <f>IF(Biometria!I13=0,"",Biometria!I13)</f>
        <v/>
      </c>
      <c r="J3" s="62" t="str">
        <f>IF(Biometria!J13=0,"",Biometria!J13)</f>
        <v/>
      </c>
      <c r="K3" s="62" t="str">
        <f>IF(Biometria!K13=0,"",Biometria!K13)</f>
        <v/>
      </c>
    </row>
    <row r="4" spans="1:15" x14ac:dyDescent="0.25">
      <c r="A4" s="62" t="str">
        <f>IF(LEN(B3)&gt;0,Biometria!A14,"")</f>
        <v/>
      </c>
      <c r="B4" s="62" t="str">
        <f>IF(LEN(Biometria!B14)=0,"",Biometria!B14)</f>
        <v/>
      </c>
      <c r="C4" s="62" t="str">
        <f>IF(Biometria!C14=0,"",Biometria!C14)</f>
        <v/>
      </c>
      <c r="D4" s="62" t="str">
        <f>IF(Biometria!D14=0,"",Biometria!D14)</f>
        <v/>
      </c>
      <c r="E4" s="62" t="str">
        <f>IF(Biometria!E14=0,"",Biometria!E14)</f>
        <v/>
      </c>
      <c r="F4" s="62" t="str">
        <f>IF(Biometria!F14=0,"",Biometria!F14)</f>
        <v/>
      </c>
      <c r="G4" s="62" t="str">
        <f>IF(Biometria!G14=0,"",Biometria!G14)</f>
        <v/>
      </c>
      <c r="H4" s="62" t="str">
        <f>IF(Biometria!H14=0,"",Biometria!H14)</f>
        <v/>
      </c>
      <c r="I4" s="62" t="str">
        <f>IF(Biometria!I14=0,"",Biometria!I14)</f>
        <v/>
      </c>
      <c r="J4" s="62" t="str">
        <f>IF(Biometria!J14=0,"",Biometria!J14)</f>
        <v/>
      </c>
      <c r="K4" s="62" t="str">
        <f>IF(Biometria!K14=0,"",Biometria!K14)</f>
        <v/>
      </c>
    </row>
    <row r="5" spans="1:15" x14ac:dyDescent="0.25">
      <c r="A5" s="62" t="str">
        <f>IF(LEN(B4)&gt;0,Biometria!A15,"")</f>
        <v/>
      </c>
      <c r="B5" s="62" t="str">
        <f>IF(LEN(Biometria!B15)=0,"",Biometria!B15)</f>
        <v/>
      </c>
      <c r="C5" s="62" t="str">
        <f>IF(Biometria!C15=0,"",Biometria!C15)</f>
        <v/>
      </c>
      <c r="D5" s="62" t="str">
        <f>IF(Biometria!D15=0,"",Biometria!D15)</f>
        <v/>
      </c>
      <c r="E5" s="62" t="str">
        <f>IF(Biometria!E15=0,"",Biometria!E15)</f>
        <v/>
      </c>
      <c r="F5" s="62" t="str">
        <f>IF(Biometria!F15=0,"",Biometria!F15)</f>
        <v/>
      </c>
      <c r="G5" s="62" t="str">
        <f>IF(Biometria!G15=0,"",Biometria!G15)</f>
        <v/>
      </c>
      <c r="H5" s="62" t="str">
        <f>IF(Biometria!H15=0,"",Biometria!H15)</f>
        <v/>
      </c>
      <c r="I5" s="62" t="str">
        <f>IF(Biometria!I15=0,"",Biometria!I15)</f>
        <v/>
      </c>
      <c r="J5" s="62" t="str">
        <f>IF(Biometria!J15=0,"",Biometria!J15)</f>
        <v/>
      </c>
      <c r="K5" s="62" t="str">
        <f>IF(Biometria!K15=0,"",Biometria!K15)</f>
        <v/>
      </c>
    </row>
    <row r="6" spans="1:15" x14ac:dyDescent="0.25">
      <c r="A6" s="62" t="str">
        <f>IF(LEN(B5)&gt;0,Biometria!A16,"")</f>
        <v/>
      </c>
      <c r="B6" s="62" t="str">
        <f>IF(LEN(Biometria!B16)=0,"",Biometria!B16)</f>
        <v/>
      </c>
      <c r="C6" s="62" t="str">
        <f>IF(Biometria!C16=0,"",Biometria!C16)</f>
        <v/>
      </c>
      <c r="D6" s="62" t="str">
        <f>IF(Biometria!D16=0,"",Biometria!D16)</f>
        <v/>
      </c>
      <c r="E6" s="62" t="str">
        <f>IF(Biometria!E16=0,"",Biometria!E16)</f>
        <v/>
      </c>
      <c r="F6" s="62" t="str">
        <f>IF(Biometria!F16=0,"",Biometria!F16)</f>
        <v/>
      </c>
      <c r="G6" s="62" t="str">
        <f>IF(Biometria!G16=0,"",Biometria!G16)</f>
        <v/>
      </c>
      <c r="H6" s="62" t="str">
        <f>IF(Biometria!H16=0,"",Biometria!H16)</f>
        <v/>
      </c>
      <c r="I6" s="62" t="str">
        <f>IF(Biometria!I16=0,"",Biometria!I16)</f>
        <v/>
      </c>
      <c r="J6" s="62" t="str">
        <f>IF(Biometria!J16=0,"",Biometria!J16)</f>
        <v/>
      </c>
      <c r="K6" s="62" t="str">
        <f>IF(Biometria!K16=0,"",Biometria!K16)</f>
        <v/>
      </c>
    </row>
    <row r="7" spans="1:15" x14ac:dyDescent="0.25">
      <c r="A7" s="62" t="str">
        <f>IF(LEN(B6)&gt;0,Biometria!A17,"")</f>
        <v/>
      </c>
      <c r="B7" s="62" t="str">
        <f>IF(LEN(Biometria!B17)=0,"",Biometria!B17)</f>
        <v/>
      </c>
      <c r="C7" s="62" t="str">
        <f>IF(Biometria!C17=0,"",Biometria!C17)</f>
        <v/>
      </c>
      <c r="D7" s="62" t="str">
        <f>IF(Biometria!D17=0,"",Biometria!D17)</f>
        <v/>
      </c>
      <c r="E7" s="62" t="str">
        <f>IF(Biometria!E17=0,"",Biometria!E17)</f>
        <v/>
      </c>
      <c r="F7" s="62" t="str">
        <f>IF(Biometria!F17=0,"",Biometria!F17)</f>
        <v/>
      </c>
      <c r="G7" s="62" t="str">
        <f>IF(Biometria!G17=0,"",Biometria!G17)</f>
        <v/>
      </c>
      <c r="H7" s="62" t="str">
        <f>IF(Biometria!H17=0,"",Biometria!H17)</f>
        <v/>
      </c>
      <c r="I7" s="62" t="str">
        <f>IF(Biometria!I17=0,"",Biometria!I17)</f>
        <v/>
      </c>
      <c r="J7" s="62" t="str">
        <f>IF(Biometria!J17=0,"",Biometria!J17)</f>
        <v/>
      </c>
      <c r="K7" s="62" t="str">
        <f>IF(Biometria!K17=0,"",Biometria!K17)</f>
        <v/>
      </c>
    </row>
    <row r="8" spans="1:15" x14ac:dyDescent="0.25">
      <c r="A8" s="62" t="str">
        <f>IF(LEN(B7)&gt;0,Biometria!A18,"")</f>
        <v/>
      </c>
      <c r="B8" s="62" t="str">
        <f>IF(LEN(Biometria!B18)=0,"",Biometria!B18)</f>
        <v/>
      </c>
      <c r="C8" s="62" t="str">
        <f>IF(Biometria!C18=0,"",Biometria!C18)</f>
        <v/>
      </c>
      <c r="D8" s="62" t="str">
        <f>IF(Biometria!D18=0,"",Biometria!D18)</f>
        <v/>
      </c>
      <c r="E8" s="62" t="str">
        <f>IF(Biometria!E18=0,"",Biometria!E18)</f>
        <v/>
      </c>
      <c r="F8" s="62" t="str">
        <f>IF(Biometria!F18=0,"",Biometria!F18)</f>
        <v/>
      </c>
      <c r="G8" s="62" t="str">
        <f>IF(Biometria!G18=0,"",Biometria!G18)</f>
        <v/>
      </c>
      <c r="H8" s="62" t="str">
        <f>IF(Biometria!H18=0,"",Biometria!H18)</f>
        <v/>
      </c>
      <c r="I8" s="62" t="str">
        <f>IF(Biometria!I18=0,"",Biometria!I18)</f>
        <v/>
      </c>
      <c r="J8" s="62" t="str">
        <f>IF(Biometria!J18=0,"",Biometria!J18)</f>
        <v/>
      </c>
      <c r="K8" s="62" t="str">
        <f>IF(Biometria!K18=0,"",Biometria!K18)</f>
        <v/>
      </c>
    </row>
    <row r="9" spans="1:15" x14ac:dyDescent="0.25">
      <c r="A9" s="62" t="str">
        <f>IF(LEN(B8)&gt;0,Biometria!A19,"")</f>
        <v/>
      </c>
      <c r="B9" s="62" t="str">
        <f>IF(LEN(Biometria!B19)=0,"",Biometria!B19)</f>
        <v/>
      </c>
      <c r="C9" s="62" t="str">
        <f>IF(Biometria!C19=0,"",Biometria!C19)</f>
        <v/>
      </c>
      <c r="D9" s="62" t="str">
        <f>IF(Biometria!D19=0,"",Biometria!D19)</f>
        <v/>
      </c>
      <c r="E9" s="62" t="str">
        <f>IF(Biometria!E19=0,"",Biometria!E19)</f>
        <v/>
      </c>
      <c r="F9" s="62" t="str">
        <f>IF(Biometria!F19=0,"",Biometria!F19)</f>
        <v/>
      </c>
      <c r="G9" s="62" t="str">
        <f>IF(Biometria!G19=0,"",Biometria!G19)</f>
        <v/>
      </c>
      <c r="H9" s="62" t="str">
        <f>IF(Biometria!H19=0,"",Biometria!H19)</f>
        <v/>
      </c>
      <c r="I9" s="62" t="str">
        <f>IF(Biometria!I19=0,"",Biometria!I19)</f>
        <v/>
      </c>
      <c r="J9" s="62" t="str">
        <f>IF(Biometria!J19=0,"",Biometria!J19)</f>
        <v/>
      </c>
      <c r="K9" s="62" t="str">
        <f>IF(Biometria!K19=0,"",Biometria!K19)</f>
        <v/>
      </c>
    </row>
    <row r="10" spans="1:15" x14ac:dyDescent="0.25">
      <c r="A10" s="62" t="str">
        <f>IF(LEN(B9)&gt;0,Biometria!A20,"")</f>
        <v/>
      </c>
      <c r="B10" s="62" t="str">
        <f>IF(LEN(Biometria!B20)=0,"",Biometria!B20)</f>
        <v/>
      </c>
      <c r="C10" s="62" t="str">
        <f>IF(Biometria!C20=0,"",Biometria!C20)</f>
        <v/>
      </c>
      <c r="D10" s="62" t="str">
        <f>IF(Biometria!D20=0,"",Biometria!D20)</f>
        <v/>
      </c>
      <c r="E10" s="62" t="str">
        <f>IF(Biometria!E20=0,"",Biometria!E20)</f>
        <v/>
      </c>
      <c r="F10" s="62" t="str">
        <f>IF(Biometria!F20=0,"",Biometria!F20)</f>
        <v/>
      </c>
      <c r="G10" s="62" t="str">
        <f>IF(Biometria!G20=0,"",Biometria!G20)</f>
        <v/>
      </c>
      <c r="H10" s="62" t="str">
        <f>IF(Biometria!H20=0,"",Biometria!H20)</f>
        <v/>
      </c>
      <c r="I10" s="62" t="str">
        <f>IF(Biometria!I20=0,"",Biometria!I20)</f>
        <v/>
      </c>
      <c r="J10" s="62" t="str">
        <f>IF(Biometria!J20=0,"",Biometria!J20)</f>
        <v/>
      </c>
      <c r="K10" s="62" t="str">
        <f>IF(Biometria!K20=0,"",Biometria!K20)</f>
        <v/>
      </c>
    </row>
    <row r="11" spans="1:15" x14ac:dyDescent="0.25">
      <c r="A11" s="62" t="str">
        <f>IF(LEN(B10)&gt;0,Biometria!A21,"")</f>
        <v/>
      </c>
      <c r="B11" s="62" t="str">
        <f>IF(LEN(Biometria!B21)=0,"",Biometria!B21)</f>
        <v/>
      </c>
      <c r="C11" s="62" t="str">
        <f>IF(Biometria!C21=0,"",Biometria!C21)</f>
        <v/>
      </c>
      <c r="D11" s="62" t="str">
        <f>IF(Biometria!D21=0,"",Biometria!D21)</f>
        <v/>
      </c>
      <c r="E11" s="62" t="str">
        <f>IF(Biometria!E21=0,"",Biometria!E21)</f>
        <v/>
      </c>
      <c r="F11" s="62" t="str">
        <f>IF(Biometria!F21=0,"",Biometria!F21)</f>
        <v/>
      </c>
      <c r="G11" s="62" t="str">
        <f>IF(Biometria!G21=0,"",Biometria!G21)</f>
        <v/>
      </c>
      <c r="H11" s="62" t="str">
        <f>IF(Biometria!H21=0,"",Biometria!H21)</f>
        <v/>
      </c>
      <c r="I11" s="62" t="str">
        <f>IF(Biometria!I21=0,"",Biometria!I21)</f>
        <v/>
      </c>
      <c r="J11" s="62" t="str">
        <f>IF(Biometria!J21=0,"",Biometria!J21)</f>
        <v/>
      </c>
      <c r="K11" s="62" t="str">
        <f>IF(Biometria!K21=0,"",Biometria!K21)</f>
        <v/>
      </c>
    </row>
    <row r="12" spans="1:15" x14ac:dyDescent="0.25">
      <c r="A12" s="62" t="str">
        <f>IF(LEN(B11)&gt;0,Biometria!A22,"")</f>
        <v/>
      </c>
      <c r="B12" s="62" t="str">
        <f>IF(LEN(Biometria!B22)=0,"",Biometria!B22)</f>
        <v/>
      </c>
      <c r="C12" s="62" t="str">
        <f>IF(Biometria!C22=0,"",Biometria!C22)</f>
        <v/>
      </c>
      <c r="D12" s="62" t="str">
        <f>IF(Biometria!D22=0,"",Biometria!D22)</f>
        <v/>
      </c>
      <c r="E12" s="62" t="str">
        <f>IF(Biometria!E22=0,"",Biometria!E22)</f>
        <v/>
      </c>
      <c r="F12" s="62" t="str">
        <f>IF(Biometria!F22=0,"",Biometria!F22)</f>
        <v/>
      </c>
      <c r="G12" s="62" t="str">
        <f>IF(Biometria!G22=0,"",Biometria!G22)</f>
        <v/>
      </c>
      <c r="H12" s="62" t="str">
        <f>IF(Biometria!H22=0,"",Biometria!H22)</f>
        <v/>
      </c>
      <c r="I12" s="62" t="str">
        <f>IF(Biometria!I22=0,"",Biometria!I22)</f>
        <v/>
      </c>
      <c r="J12" s="62" t="str">
        <f>IF(Biometria!J22=0,"",Biometria!J22)</f>
        <v/>
      </c>
      <c r="K12" s="62" t="str">
        <f>IF(Biometria!K22=0,"",Biometria!K22)</f>
        <v/>
      </c>
    </row>
    <row r="13" spans="1:15" x14ac:dyDescent="0.25">
      <c r="A13" s="62" t="str">
        <f>IF(LEN(B12)&gt;0,Biometria!A23,"")</f>
        <v/>
      </c>
      <c r="B13" s="62" t="str">
        <f>IF(LEN(Biometria!B23)=0,"",Biometria!B23)</f>
        <v/>
      </c>
      <c r="C13" s="62" t="str">
        <f>IF(Biometria!C23=0,"",Biometria!C23)</f>
        <v/>
      </c>
      <c r="D13" s="62" t="str">
        <f>IF(Biometria!D23=0,"",Biometria!D23)</f>
        <v/>
      </c>
      <c r="E13" s="62" t="str">
        <f>IF(Biometria!E23=0,"",Biometria!E23)</f>
        <v/>
      </c>
      <c r="F13" s="62" t="str">
        <f>IF(Biometria!F23=0,"",Biometria!F23)</f>
        <v/>
      </c>
      <c r="G13" s="62" t="str">
        <f>IF(Biometria!G23=0,"",Biometria!G23)</f>
        <v/>
      </c>
      <c r="H13" s="62" t="str">
        <f>IF(Biometria!H23=0,"",Biometria!H23)</f>
        <v/>
      </c>
      <c r="I13" s="62" t="str">
        <f>IF(Biometria!I23=0,"",Biometria!I23)</f>
        <v/>
      </c>
      <c r="J13" s="62" t="str">
        <f>IF(Biometria!J23=0,"",Biometria!J23)</f>
        <v/>
      </c>
      <c r="K13" s="62" t="str">
        <f>IF(Biometria!K23=0,"",Biometria!K23)</f>
        <v/>
      </c>
    </row>
    <row r="14" spans="1:15" x14ac:dyDescent="0.25">
      <c r="A14" s="62" t="str">
        <f>IF(LEN(B13)&gt;0,Biometria!A24,"")</f>
        <v/>
      </c>
      <c r="B14" s="62" t="str">
        <f>IF(LEN(Biometria!B24)=0,"",Biometria!B24)</f>
        <v/>
      </c>
      <c r="C14" s="62" t="str">
        <f>IF(Biometria!C24=0,"",Biometria!C24)</f>
        <v/>
      </c>
      <c r="D14" s="62" t="str">
        <f>IF(Biometria!D24=0,"",Biometria!D24)</f>
        <v/>
      </c>
      <c r="E14" s="62" t="str">
        <f>IF(Biometria!E24=0,"",Biometria!E24)</f>
        <v/>
      </c>
      <c r="F14" s="62" t="str">
        <f>IF(Biometria!F24=0,"",Biometria!F24)</f>
        <v/>
      </c>
      <c r="G14" s="62" t="str">
        <f>IF(Biometria!G24=0,"",Biometria!G24)</f>
        <v/>
      </c>
      <c r="H14" s="62" t="str">
        <f>IF(Biometria!H24=0,"",Biometria!H24)</f>
        <v/>
      </c>
      <c r="I14" s="62" t="str">
        <f>IF(Biometria!I24=0,"",Biometria!I24)</f>
        <v/>
      </c>
      <c r="J14" s="62" t="str">
        <f>IF(Biometria!J24=0,"",Biometria!J24)</f>
        <v/>
      </c>
      <c r="K14" s="62" t="str">
        <f>IF(Biometria!K24=0,"",Biometria!K24)</f>
        <v/>
      </c>
    </row>
    <row r="15" spans="1:15" x14ac:dyDescent="0.25">
      <c r="A15" s="62" t="str">
        <f>IF(LEN(B14)&gt;0,Biometria!A25,"")</f>
        <v/>
      </c>
      <c r="B15" s="62" t="str">
        <f>IF(LEN(Biometria!B25)=0,"",Biometria!B25)</f>
        <v/>
      </c>
      <c r="C15" s="62" t="str">
        <f>IF(Biometria!C25=0,"",Biometria!C25)</f>
        <v/>
      </c>
      <c r="D15" s="62" t="str">
        <f>IF(Biometria!D25=0,"",Biometria!D25)</f>
        <v/>
      </c>
      <c r="E15" s="62" t="str">
        <f>IF(Biometria!E25=0,"",Biometria!E25)</f>
        <v/>
      </c>
      <c r="F15" s="62" t="str">
        <f>IF(Biometria!F25=0,"",Biometria!F25)</f>
        <v/>
      </c>
      <c r="G15" s="62" t="str">
        <f>IF(Biometria!G25=0,"",Biometria!G25)</f>
        <v/>
      </c>
      <c r="H15" s="62" t="str">
        <f>IF(Biometria!H25=0,"",Biometria!H25)</f>
        <v/>
      </c>
      <c r="I15" s="62" t="str">
        <f>IF(Biometria!I25=0,"",Biometria!I25)</f>
        <v/>
      </c>
      <c r="J15" s="62" t="str">
        <f>IF(Biometria!J25=0,"",Biometria!J25)</f>
        <v/>
      </c>
      <c r="K15" s="62" t="str">
        <f>IF(Biometria!K25=0,"",Biometria!K25)</f>
        <v/>
      </c>
    </row>
    <row r="16" spans="1:15" x14ac:dyDescent="0.25">
      <c r="A16" s="62" t="str">
        <f>IF(LEN(B15)&gt;0,Biometria!A26,"")</f>
        <v/>
      </c>
      <c r="B16" s="62" t="str">
        <f>IF(LEN(Biometria!B26)=0,"",Biometria!B26)</f>
        <v/>
      </c>
      <c r="C16" s="62" t="str">
        <f>IF(Biometria!C26=0,"",Biometria!C26)</f>
        <v/>
      </c>
      <c r="D16" s="62" t="str">
        <f>IF(Biometria!D26=0,"",Biometria!D26)</f>
        <v/>
      </c>
      <c r="E16" s="62" t="str">
        <f>IF(Biometria!E26=0,"",Biometria!E26)</f>
        <v/>
      </c>
      <c r="F16" s="62" t="str">
        <f>IF(Biometria!F26=0,"",Biometria!F26)</f>
        <v/>
      </c>
      <c r="G16" s="62" t="str">
        <f>IF(Biometria!G26=0,"",Biometria!G26)</f>
        <v/>
      </c>
      <c r="H16" s="62" t="str">
        <f>IF(Biometria!H26=0,"",Biometria!H26)</f>
        <v/>
      </c>
      <c r="I16" s="62" t="str">
        <f>IF(Biometria!I26=0,"",Biometria!I26)</f>
        <v/>
      </c>
      <c r="J16" s="62" t="str">
        <f>IF(Biometria!J26=0,"",Biometria!J26)</f>
        <v/>
      </c>
      <c r="K16" s="62" t="str">
        <f>IF(Biometria!K26=0,"",Biometria!K26)</f>
        <v/>
      </c>
    </row>
    <row r="17" spans="1:11" x14ac:dyDescent="0.25">
      <c r="A17" s="62" t="str">
        <f>IF(LEN(B16)&gt;0,Biometria!A27,"")</f>
        <v/>
      </c>
      <c r="B17" s="62" t="str">
        <f>IF(LEN(Biometria!B27)=0,"",Biometria!B27)</f>
        <v/>
      </c>
      <c r="C17" s="62" t="str">
        <f>IF(Biometria!C27=0,"",Biometria!C27)</f>
        <v/>
      </c>
      <c r="D17" s="62" t="str">
        <f>IF(Biometria!D27=0,"",Biometria!D27)</f>
        <v/>
      </c>
      <c r="E17" s="62" t="str">
        <f>IF(Biometria!E27=0,"",Biometria!E27)</f>
        <v/>
      </c>
      <c r="F17" s="62" t="str">
        <f>IF(Biometria!F27=0,"",Biometria!F27)</f>
        <v/>
      </c>
      <c r="G17" s="62" t="str">
        <f>IF(Biometria!G27=0,"",Biometria!G27)</f>
        <v/>
      </c>
      <c r="H17" s="62" t="str">
        <f>IF(Biometria!H27=0,"",Biometria!H27)</f>
        <v/>
      </c>
      <c r="I17" s="62" t="str">
        <f>IF(Biometria!I27=0,"",Biometria!I27)</f>
        <v/>
      </c>
      <c r="J17" s="62" t="str">
        <f>IF(Biometria!J27=0,"",Biometria!J27)</f>
        <v/>
      </c>
      <c r="K17" s="62" t="str">
        <f>IF(Biometria!K27=0,"",Biometria!K27)</f>
        <v/>
      </c>
    </row>
    <row r="18" spans="1:11" x14ac:dyDescent="0.25">
      <c r="A18" s="62" t="str">
        <f>IF(LEN(B17)&gt;0,Biometria!A28,"")</f>
        <v/>
      </c>
      <c r="B18" s="62" t="str">
        <f>IF(LEN(Biometria!B28)=0,"",Biometria!B28)</f>
        <v/>
      </c>
      <c r="C18" s="62" t="str">
        <f>IF(Biometria!C28=0,"",Biometria!C28)</f>
        <v/>
      </c>
      <c r="D18" s="62" t="str">
        <f>IF(Biometria!D28=0,"",Biometria!D28)</f>
        <v/>
      </c>
      <c r="E18" s="62" t="str">
        <f>IF(Biometria!E28=0,"",Biometria!E28)</f>
        <v/>
      </c>
      <c r="F18" s="62" t="str">
        <f>IF(Biometria!F28=0,"",Biometria!F28)</f>
        <v/>
      </c>
      <c r="G18" s="62" t="str">
        <f>IF(Biometria!G28=0,"",Biometria!G28)</f>
        <v/>
      </c>
      <c r="H18" s="62" t="str">
        <f>IF(Biometria!H28=0,"",Biometria!H28)</f>
        <v/>
      </c>
      <c r="I18" s="62" t="str">
        <f>IF(Biometria!I28=0,"",Biometria!I28)</f>
        <v/>
      </c>
      <c r="J18" s="62" t="str">
        <f>IF(Biometria!J28=0,"",Biometria!J28)</f>
        <v/>
      </c>
      <c r="K18" s="62" t="str">
        <f>IF(Biometria!K28=0,"",Biometria!K28)</f>
        <v/>
      </c>
    </row>
    <row r="19" spans="1:11" x14ac:dyDescent="0.25">
      <c r="A19" s="62" t="str">
        <f>IF(LEN(B18)&gt;0,Biometria!A29,"")</f>
        <v/>
      </c>
      <c r="B19" s="62" t="str">
        <f>IF(LEN(Biometria!B29)=0,"",Biometria!B29)</f>
        <v/>
      </c>
      <c r="C19" s="62" t="str">
        <f>IF(Biometria!C29=0,"",Biometria!C29)</f>
        <v/>
      </c>
      <c r="D19" s="62" t="str">
        <f>IF(Biometria!D29=0,"",Biometria!D29)</f>
        <v/>
      </c>
      <c r="E19" s="62" t="str">
        <f>IF(Biometria!E29=0,"",Biometria!E29)</f>
        <v/>
      </c>
      <c r="F19" s="62" t="str">
        <f>IF(Biometria!F29=0,"",Biometria!F29)</f>
        <v/>
      </c>
      <c r="G19" s="62" t="str">
        <f>IF(Biometria!G29=0,"",Biometria!G29)</f>
        <v/>
      </c>
      <c r="H19" s="62" t="str">
        <f>IF(Biometria!H29=0,"",Biometria!H29)</f>
        <v/>
      </c>
      <c r="I19" s="62" t="str">
        <f>IF(Biometria!I29=0,"",Biometria!I29)</f>
        <v/>
      </c>
      <c r="J19" s="62" t="str">
        <f>IF(Biometria!J29=0,"",Biometria!J29)</f>
        <v/>
      </c>
      <c r="K19" s="62" t="str">
        <f>IF(Biometria!K29=0,"",Biometria!K29)</f>
        <v/>
      </c>
    </row>
    <row r="20" spans="1:11" x14ac:dyDescent="0.25">
      <c r="A20" s="62" t="str">
        <f>IF(LEN(B19)&gt;0,Biometria!A30,"")</f>
        <v/>
      </c>
      <c r="B20" s="62" t="str">
        <f>IF(LEN(Biometria!B30)=0,"",Biometria!B30)</f>
        <v/>
      </c>
      <c r="C20" s="62" t="str">
        <f>IF(Biometria!C30=0,"",Biometria!C30)</f>
        <v/>
      </c>
      <c r="D20" s="62" t="str">
        <f>IF(Biometria!D30=0,"",Biometria!D30)</f>
        <v/>
      </c>
      <c r="E20" s="62" t="str">
        <f>IF(Biometria!E30=0,"",Biometria!E30)</f>
        <v/>
      </c>
      <c r="F20" s="62" t="str">
        <f>IF(Biometria!F30=0,"",Biometria!F30)</f>
        <v/>
      </c>
      <c r="G20" s="62" t="str">
        <f>IF(Biometria!G30=0,"",Biometria!G30)</f>
        <v/>
      </c>
      <c r="H20" s="62" t="str">
        <f>IF(Biometria!H30=0,"",Biometria!H30)</f>
        <v/>
      </c>
      <c r="I20" s="62" t="str">
        <f>IF(Biometria!I30=0,"",Biometria!I30)</f>
        <v/>
      </c>
      <c r="J20" s="62" t="str">
        <f>IF(Biometria!J30=0,"",Biometria!J30)</f>
        <v/>
      </c>
      <c r="K20" s="62" t="str">
        <f>IF(Biometria!K30=0,"",Biometria!K30)</f>
        <v/>
      </c>
    </row>
    <row r="21" spans="1:11" x14ac:dyDescent="0.25">
      <c r="A21" s="62" t="str">
        <f>IF(LEN(B20)&gt;0,Biometria!A31,"")</f>
        <v/>
      </c>
      <c r="B21" s="62" t="str">
        <f>IF(LEN(Biometria!B31)=0,"",Biometria!B31)</f>
        <v/>
      </c>
      <c r="C21" s="62" t="str">
        <f>IF(Biometria!C31=0,"",Biometria!C31)</f>
        <v/>
      </c>
      <c r="D21" s="62" t="str">
        <f>IF(Biometria!D31=0,"",Biometria!D31)</f>
        <v/>
      </c>
      <c r="E21" s="62" t="str">
        <f>IF(Biometria!E31=0,"",Biometria!E31)</f>
        <v/>
      </c>
      <c r="F21" s="62" t="str">
        <f>IF(Biometria!F31=0,"",Biometria!F31)</f>
        <v/>
      </c>
      <c r="G21" s="62" t="str">
        <f>IF(Biometria!G31=0,"",Biometria!G31)</f>
        <v/>
      </c>
      <c r="H21" s="62" t="str">
        <f>IF(Biometria!H31=0,"",Biometria!H31)</f>
        <v/>
      </c>
      <c r="I21" s="62" t="str">
        <f>IF(Biometria!I31=0,"",Biometria!I31)</f>
        <v/>
      </c>
      <c r="J21" s="62" t="str">
        <f>IF(Biometria!J31=0,"",Biometria!J31)</f>
        <v/>
      </c>
      <c r="K21" s="62" t="str">
        <f>IF(Biometria!K31=0,"",Biometria!K31)</f>
        <v/>
      </c>
    </row>
    <row r="22" spans="1:11" x14ac:dyDescent="0.25">
      <c r="A22" s="62" t="str">
        <f>IF(LEN(B21)&gt;0,Biometria!A32,"")</f>
        <v/>
      </c>
      <c r="B22" s="62" t="str">
        <f>IF(LEN(Biometria!B32)=0,"",Biometria!B32)</f>
        <v/>
      </c>
      <c r="C22" s="62" t="str">
        <f>IF(Biometria!C32=0,"",Biometria!C32)</f>
        <v/>
      </c>
      <c r="D22" s="62" t="str">
        <f>IF(Biometria!D32=0,"",Biometria!D32)</f>
        <v/>
      </c>
      <c r="E22" s="62" t="str">
        <f>IF(Biometria!E32=0,"",Biometria!E32)</f>
        <v/>
      </c>
      <c r="F22" s="62" t="str">
        <f>IF(Biometria!F32=0,"",Biometria!F32)</f>
        <v/>
      </c>
      <c r="G22" s="62" t="str">
        <f>IF(Biometria!G32=0,"",Biometria!G32)</f>
        <v/>
      </c>
      <c r="H22" s="62" t="str">
        <f>IF(Biometria!H32=0,"",Biometria!H32)</f>
        <v/>
      </c>
      <c r="I22" s="62" t="str">
        <f>IF(Biometria!I32=0,"",Biometria!I32)</f>
        <v/>
      </c>
      <c r="J22" s="62" t="str">
        <f>IF(Biometria!J32=0,"",Biometria!J32)</f>
        <v/>
      </c>
      <c r="K22" s="62" t="str">
        <f>IF(Biometria!K32=0,"",Biometria!K32)</f>
        <v/>
      </c>
    </row>
    <row r="23" spans="1:11" x14ac:dyDescent="0.25">
      <c r="A23" s="62" t="str">
        <f>IF(LEN(B22)&gt;0,Biometria!A33,"")</f>
        <v/>
      </c>
      <c r="B23" s="62" t="str">
        <f>IF(LEN(Biometria!B33)=0,"",Biometria!B33)</f>
        <v/>
      </c>
      <c r="C23" s="62" t="str">
        <f>IF(Biometria!C33=0,"",Biometria!C33)</f>
        <v/>
      </c>
      <c r="D23" s="62" t="str">
        <f>IF(Biometria!D33=0,"",Biometria!D33)</f>
        <v/>
      </c>
      <c r="E23" s="62" t="str">
        <f>IF(Biometria!E33=0,"",Biometria!E33)</f>
        <v/>
      </c>
      <c r="F23" s="62" t="str">
        <f>IF(Biometria!F33=0,"",Biometria!F33)</f>
        <v/>
      </c>
      <c r="G23" s="62" t="str">
        <f>IF(Biometria!G33=0,"",Biometria!G33)</f>
        <v/>
      </c>
      <c r="H23" s="62" t="str">
        <f>IF(Biometria!H33=0,"",Biometria!H33)</f>
        <v/>
      </c>
      <c r="I23" s="62" t="str">
        <f>IF(Biometria!I33=0,"",Biometria!I33)</f>
        <v/>
      </c>
      <c r="J23" s="62" t="str">
        <f>IF(Biometria!J33=0,"",Biometria!J33)</f>
        <v/>
      </c>
      <c r="K23" s="62" t="str">
        <f>IF(Biometria!K33=0,"",Biometria!K33)</f>
        <v/>
      </c>
    </row>
    <row r="24" spans="1:11" x14ac:dyDescent="0.25">
      <c r="A24" s="62" t="str">
        <f>IF(LEN(B23)&gt;0,Biometria!A34,"")</f>
        <v/>
      </c>
      <c r="B24" s="62" t="str">
        <f>IF(LEN(Biometria!B34)=0,"",Biometria!B34)</f>
        <v/>
      </c>
      <c r="C24" s="62" t="str">
        <f>IF(Biometria!C34=0,"",Biometria!C34)</f>
        <v/>
      </c>
      <c r="D24" s="62" t="str">
        <f>IF(Biometria!D34=0,"",Biometria!D34)</f>
        <v/>
      </c>
      <c r="E24" s="62" t="str">
        <f>IF(Biometria!E34=0,"",Biometria!E34)</f>
        <v/>
      </c>
      <c r="F24" s="62" t="str">
        <f>IF(Biometria!F34=0,"",Biometria!F34)</f>
        <v/>
      </c>
      <c r="G24" s="62" t="str">
        <f>IF(Biometria!G34=0,"",Biometria!G34)</f>
        <v/>
      </c>
      <c r="H24" s="62" t="str">
        <f>IF(Biometria!H34=0,"",Biometria!H34)</f>
        <v/>
      </c>
      <c r="I24" s="62" t="str">
        <f>IF(Biometria!I34=0,"",Biometria!I34)</f>
        <v/>
      </c>
      <c r="J24" s="62" t="str">
        <f>IF(Biometria!J34=0,"",Biometria!J34)</f>
        <v/>
      </c>
      <c r="K24" s="62" t="str">
        <f>IF(Biometria!K34=0,"",Biometria!K34)</f>
        <v/>
      </c>
    </row>
    <row r="25" spans="1:11" x14ac:dyDescent="0.25">
      <c r="A25" s="62" t="str">
        <f>IF(LEN(B24)&gt;0,Biometria!A35,"")</f>
        <v/>
      </c>
      <c r="B25" s="62" t="str">
        <f>IF(LEN(Biometria!B35)=0,"",Biometria!B35)</f>
        <v/>
      </c>
      <c r="C25" s="62" t="str">
        <f>IF(Biometria!C35=0,"",Biometria!C35)</f>
        <v/>
      </c>
      <c r="D25" s="62" t="str">
        <f>IF(Biometria!D35=0,"",Biometria!D35)</f>
        <v/>
      </c>
      <c r="E25" s="62" t="str">
        <f>IF(Biometria!E35=0,"",Biometria!E35)</f>
        <v/>
      </c>
      <c r="F25" s="62" t="str">
        <f>IF(Biometria!F35=0,"",Biometria!F35)</f>
        <v/>
      </c>
      <c r="G25" s="62" t="str">
        <f>IF(Biometria!G35=0,"",Biometria!G35)</f>
        <v/>
      </c>
      <c r="H25" s="62" t="str">
        <f>IF(Biometria!H35=0,"",Biometria!H35)</f>
        <v/>
      </c>
      <c r="I25" s="62" t="str">
        <f>IF(Biometria!I35=0,"",Biometria!I35)</f>
        <v/>
      </c>
      <c r="J25" s="62" t="str">
        <f>IF(Biometria!J35=0,"",Biometria!J35)</f>
        <v/>
      </c>
      <c r="K25" s="62" t="str">
        <f>IF(Biometria!K35=0,"",Biometria!K35)</f>
        <v/>
      </c>
    </row>
    <row r="26" spans="1:11" x14ac:dyDescent="0.25">
      <c r="A26" s="62" t="str">
        <f>IF(LEN(B25)&gt;0,Biometria!A36,"")</f>
        <v/>
      </c>
      <c r="B26" s="62" t="str">
        <f>IF(LEN(Biometria!B36)=0,"",Biometria!B36)</f>
        <v/>
      </c>
      <c r="C26" s="62" t="str">
        <f>IF(Biometria!C36=0,"",Biometria!C36)</f>
        <v/>
      </c>
      <c r="D26" s="62" t="str">
        <f>IF(Biometria!D36=0,"",Biometria!D36)</f>
        <v/>
      </c>
      <c r="E26" s="62" t="str">
        <f>IF(Biometria!E36=0,"",Biometria!E36)</f>
        <v/>
      </c>
      <c r="F26" s="62" t="str">
        <f>IF(Biometria!F36=0,"",Biometria!F36)</f>
        <v/>
      </c>
      <c r="G26" s="62" t="str">
        <f>IF(Biometria!G36=0,"",Biometria!G36)</f>
        <v/>
      </c>
      <c r="H26" s="62" t="str">
        <f>IF(Biometria!H36=0,"",Biometria!H36)</f>
        <v/>
      </c>
      <c r="I26" s="62" t="str">
        <f>IF(Biometria!I36=0,"",Biometria!I36)</f>
        <v/>
      </c>
      <c r="J26" s="62" t="str">
        <f>IF(Biometria!J36=0,"",Biometria!J36)</f>
        <v/>
      </c>
      <c r="K26" s="62" t="str">
        <f>IF(Biometria!K36=0,"",Biometria!K36)</f>
        <v/>
      </c>
    </row>
    <row r="27" spans="1:11" x14ac:dyDescent="0.25">
      <c r="A27" s="62" t="str">
        <f>IF(LEN(B26)&gt;0,Biometria!A37,"")</f>
        <v/>
      </c>
      <c r="B27" s="62" t="str">
        <f>IF(LEN(Biometria!B37)=0,"",Biometria!B37)</f>
        <v/>
      </c>
      <c r="C27" s="62" t="str">
        <f>IF(Biometria!C37=0,"",Biometria!C37)</f>
        <v/>
      </c>
      <c r="D27" s="62" t="str">
        <f>IF(Biometria!D37=0,"",Biometria!D37)</f>
        <v/>
      </c>
      <c r="E27" s="62" t="str">
        <f>IF(Biometria!E37=0,"",Biometria!E37)</f>
        <v/>
      </c>
      <c r="F27" s="62" t="str">
        <f>IF(Biometria!F37=0,"",Biometria!F37)</f>
        <v/>
      </c>
      <c r="G27" s="62" t="str">
        <f>IF(Biometria!G37=0,"",Biometria!G37)</f>
        <v/>
      </c>
      <c r="H27" s="62" t="str">
        <f>IF(Biometria!H37=0,"",Biometria!H37)</f>
        <v/>
      </c>
      <c r="I27" s="62" t="str">
        <f>IF(Biometria!I37=0,"",Biometria!I37)</f>
        <v/>
      </c>
      <c r="J27" s="62" t="str">
        <f>IF(Biometria!J37=0,"",Biometria!J37)</f>
        <v/>
      </c>
      <c r="K27" s="62" t="str">
        <f>IF(Biometria!K37=0,"",Biometria!K37)</f>
        <v/>
      </c>
    </row>
    <row r="28" spans="1:11" x14ac:dyDescent="0.25">
      <c r="A28" s="62" t="str">
        <f>IF(LEN(B27)&gt;0,Biometria!A38,"")</f>
        <v/>
      </c>
      <c r="B28" s="62" t="str">
        <f>IF(LEN(Biometria!B38)=0,"",Biometria!B38)</f>
        <v/>
      </c>
      <c r="C28" s="62" t="str">
        <f>IF(Biometria!C38=0,"",Biometria!C38)</f>
        <v/>
      </c>
      <c r="D28" s="62" t="str">
        <f>IF(Biometria!D38=0,"",Biometria!D38)</f>
        <v/>
      </c>
      <c r="E28" s="62" t="str">
        <f>IF(Biometria!E38=0,"",Biometria!E38)</f>
        <v/>
      </c>
      <c r="F28" s="62" t="str">
        <f>IF(Biometria!F38=0,"",Biometria!F38)</f>
        <v/>
      </c>
      <c r="G28" s="62" t="str">
        <f>IF(Biometria!G38=0,"",Biometria!G38)</f>
        <v/>
      </c>
      <c r="H28" s="62" t="str">
        <f>IF(Biometria!H38=0,"",Biometria!H38)</f>
        <v/>
      </c>
      <c r="I28" s="62" t="str">
        <f>IF(Biometria!I38=0,"",Biometria!I38)</f>
        <v/>
      </c>
      <c r="J28" s="62" t="str">
        <f>IF(Biometria!J38=0,"",Biometria!J38)</f>
        <v/>
      </c>
      <c r="K28" s="62" t="str">
        <f>IF(Biometria!K38=0,"",Biometria!K38)</f>
        <v/>
      </c>
    </row>
    <row r="29" spans="1:11" x14ac:dyDescent="0.25">
      <c r="A29" s="62" t="str">
        <f>IF(LEN(B28)&gt;0,Biometria!A39,"")</f>
        <v/>
      </c>
      <c r="B29" s="62" t="str">
        <f>IF(LEN(Biometria!B39)=0,"",Biometria!B39)</f>
        <v/>
      </c>
      <c r="C29" s="62" t="str">
        <f>IF(Biometria!C39=0,"",Biometria!C39)</f>
        <v/>
      </c>
      <c r="D29" s="62" t="str">
        <f>IF(Biometria!D39=0,"",Biometria!D39)</f>
        <v/>
      </c>
      <c r="E29" s="62" t="str">
        <f>IF(Biometria!E39=0,"",Biometria!E39)</f>
        <v/>
      </c>
      <c r="F29" s="62" t="str">
        <f>IF(Biometria!F39=0,"",Biometria!F39)</f>
        <v/>
      </c>
      <c r="G29" s="62" t="str">
        <f>IF(Biometria!G39=0,"",Biometria!G39)</f>
        <v/>
      </c>
      <c r="H29" s="62" t="str">
        <f>IF(Biometria!H39=0,"",Biometria!H39)</f>
        <v/>
      </c>
      <c r="I29" s="62" t="str">
        <f>IF(Biometria!I39=0,"",Biometria!I39)</f>
        <v/>
      </c>
      <c r="J29" s="62" t="str">
        <f>IF(Biometria!J39=0,"",Biometria!J39)</f>
        <v/>
      </c>
      <c r="K29" s="62" t="str">
        <f>IF(Biometria!K39=0,"",Biometria!K39)</f>
        <v/>
      </c>
    </row>
    <row r="30" spans="1:11" x14ac:dyDescent="0.25">
      <c r="A30" s="62" t="str">
        <f>IF(LEN(B29)&gt;0,Biometria!A40,"")</f>
        <v/>
      </c>
      <c r="B30" s="62" t="str">
        <f>IF(LEN(Biometria!B40)=0,"",Biometria!B40)</f>
        <v/>
      </c>
      <c r="C30" s="62" t="str">
        <f>IF(Biometria!C40=0,"",Biometria!C40)</f>
        <v/>
      </c>
      <c r="D30" s="62" t="str">
        <f>IF(Biometria!D40=0,"",Biometria!D40)</f>
        <v/>
      </c>
      <c r="E30" s="62" t="str">
        <f>IF(Biometria!E40=0,"",Biometria!E40)</f>
        <v/>
      </c>
      <c r="F30" s="62" t="str">
        <f>IF(Biometria!F40=0,"",Biometria!F40)</f>
        <v/>
      </c>
      <c r="G30" s="62" t="str">
        <f>IF(Biometria!G40=0,"",Biometria!G40)</f>
        <v/>
      </c>
      <c r="H30" s="62" t="str">
        <f>IF(Biometria!H40=0,"",Biometria!H40)</f>
        <v/>
      </c>
      <c r="I30" s="62" t="str">
        <f>IF(Biometria!I40=0,"",Biometria!I40)</f>
        <v/>
      </c>
      <c r="J30" s="62" t="str">
        <f>IF(Biometria!J40=0,"",Biometria!J40)</f>
        <v/>
      </c>
      <c r="K30" s="62" t="str">
        <f>IF(Biometria!K40=0,"",Biometria!K40)</f>
        <v/>
      </c>
    </row>
    <row r="31" spans="1:11" x14ac:dyDescent="0.25">
      <c r="A31" s="62" t="str">
        <f>IF(LEN(B30)&gt;0,Biometria!A41,"")</f>
        <v/>
      </c>
      <c r="B31" s="62" t="str">
        <f>IF(LEN(Biometria!B41)=0,"",Biometria!B41)</f>
        <v/>
      </c>
      <c r="C31" s="62" t="str">
        <f>IF(Biometria!C41=0,"",Biometria!C41)</f>
        <v/>
      </c>
      <c r="D31" s="62" t="str">
        <f>IF(Biometria!D41=0,"",Biometria!D41)</f>
        <v/>
      </c>
      <c r="E31" s="62" t="str">
        <f>IF(Biometria!E41=0,"",Biometria!E41)</f>
        <v/>
      </c>
      <c r="F31" s="62" t="str">
        <f>IF(Biometria!F41=0,"",Biometria!F41)</f>
        <v/>
      </c>
      <c r="G31" s="62" t="str">
        <f>IF(Biometria!G41=0,"",Biometria!G41)</f>
        <v/>
      </c>
      <c r="H31" s="62" t="str">
        <f>IF(Biometria!H41=0,"",Biometria!H41)</f>
        <v/>
      </c>
      <c r="I31" s="62" t="str">
        <f>IF(Biometria!I41=0,"",Biometria!I41)</f>
        <v/>
      </c>
      <c r="J31" s="62" t="str">
        <f>IF(Biometria!J41=0,"",Biometria!J41)</f>
        <v/>
      </c>
      <c r="K31" s="62" t="str">
        <f>IF(Biometria!K41=0,"",Biometria!K41)</f>
        <v/>
      </c>
    </row>
    <row r="32" spans="1:11" x14ac:dyDescent="0.25">
      <c r="A32" s="62" t="str">
        <f>IF(LEN(B31)&gt;0,Biometria!A42,"")</f>
        <v/>
      </c>
      <c r="B32" s="62" t="str">
        <f>IF(LEN(Biometria!B42)=0,"",Biometria!B42)</f>
        <v/>
      </c>
      <c r="C32" s="62" t="str">
        <f>IF(Biometria!C42=0,"",Biometria!C42)</f>
        <v/>
      </c>
      <c r="D32" s="62" t="str">
        <f>IF(Biometria!D42=0,"",Biometria!D42)</f>
        <v/>
      </c>
      <c r="E32" s="62" t="str">
        <f>IF(Biometria!E42=0,"",Biometria!E42)</f>
        <v/>
      </c>
      <c r="F32" s="62" t="str">
        <f>IF(Biometria!F42=0,"",Biometria!F42)</f>
        <v/>
      </c>
      <c r="G32" s="62" t="str">
        <f>IF(Biometria!G42=0,"",Biometria!G42)</f>
        <v/>
      </c>
      <c r="H32" s="62" t="str">
        <f>IF(Biometria!H42=0,"",Biometria!H42)</f>
        <v/>
      </c>
      <c r="I32" s="62" t="str">
        <f>IF(Biometria!I42=0,"",Biometria!I42)</f>
        <v/>
      </c>
      <c r="J32" s="62" t="str">
        <f>IF(Biometria!J42=0,"",Biometria!J42)</f>
        <v/>
      </c>
      <c r="K32" s="62" t="str">
        <f>IF(Biometria!K42=0,"",Biometria!K42)</f>
        <v/>
      </c>
    </row>
    <row r="33" spans="1:11" x14ac:dyDescent="0.25">
      <c r="A33" s="62" t="str">
        <f>IF(LEN(B32)&gt;0,Biometria!A43,"")</f>
        <v/>
      </c>
      <c r="B33" s="62" t="str">
        <f>IF(LEN(Biometria!B43)=0,"",Biometria!B43)</f>
        <v/>
      </c>
      <c r="C33" s="62" t="str">
        <f>IF(Biometria!C43=0,"",Biometria!C43)</f>
        <v/>
      </c>
      <c r="D33" s="62" t="str">
        <f>IF(Biometria!D43=0,"",Biometria!D43)</f>
        <v/>
      </c>
      <c r="E33" s="62" t="str">
        <f>IF(Biometria!E43=0,"",Biometria!E43)</f>
        <v/>
      </c>
      <c r="F33" s="62" t="str">
        <f>IF(Biometria!F43=0,"",Biometria!F43)</f>
        <v/>
      </c>
      <c r="G33" s="62" t="str">
        <f>IF(Biometria!G43=0,"",Biometria!G43)</f>
        <v/>
      </c>
      <c r="H33" s="62" t="str">
        <f>IF(Biometria!H43=0,"",Biometria!H43)</f>
        <v/>
      </c>
      <c r="I33" s="62" t="str">
        <f>IF(Biometria!I43=0,"",Biometria!I43)</f>
        <v/>
      </c>
      <c r="J33" s="62" t="str">
        <f>IF(Biometria!J43=0,"",Biometria!J43)</f>
        <v/>
      </c>
      <c r="K33" s="62" t="str">
        <f>IF(Biometria!K43=0,"",Biometria!K43)</f>
        <v/>
      </c>
    </row>
    <row r="34" spans="1:11" x14ac:dyDescent="0.25">
      <c r="A34" s="62" t="str">
        <f>IF(LEN(B33)&gt;0,Biometria!A44,"")</f>
        <v/>
      </c>
      <c r="B34" s="62" t="str">
        <f>IF(LEN(Biometria!B44)=0,"",Biometria!B44)</f>
        <v/>
      </c>
      <c r="C34" s="62" t="str">
        <f>IF(Biometria!C44=0,"",Biometria!C44)</f>
        <v/>
      </c>
      <c r="D34" s="62" t="str">
        <f>IF(Biometria!D44=0,"",Biometria!D44)</f>
        <v/>
      </c>
      <c r="E34" s="62" t="str">
        <f>IF(Biometria!E44=0,"",Biometria!E44)</f>
        <v/>
      </c>
      <c r="F34" s="62" t="str">
        <f>IF(Biometria!F44=0,"",Biometria!F44)</f>
        <v/>
      </c>
      <c r="G34" s="62" t="str">
        <f>IF(Biometria!G44=0,"",Biometria!G44)</f>
        <v/>
      </c>
      <c r="H34" s="62" t="str">
        <f>IF(Biometria!H44=0,"",Biometria!H44)</f>
        <v/>
      </c>
      <c r="I34" s="62" t="str">
        <f>IF(Biometria!I44=0,"",Biometria!I44)</f>
        <v/>
      </c>
      <c r="J34" s="62" t="str">
        <f>IF(Biometria!J44=0,"",Biometria!J44)</f>
        <v/>
      </c>
      <c r="K34" s="62" t="str">
        <f>IF(Biometria!K44=0,"",Biometria!K44)</f>
        <v/>
      </c>
    </row>
    <row r="35" spans="1:11" x14ac:dyDescent="0.25">
      <c r="A35" s="62" t="str">
        <f>IF(LEN(B34)&gt;0,Biometria!A45,"")</f>
        <v/>
      </c>
      <c r="B35" s="62" t="str">
        <f>IF(LEN(Biometria!B45)=0,"",Biometria!B45)</f>
        <v/>
      </c>
      <c r="C35" s="62" t="str">
        <f>IF(Biometria!C45=0,"",Biometria!C45)</f>
        <v/>
      </c>
      <c r="D35" s="62" t="str">
        <f>IF(Biometria!D45=0,"",Biometria!D45)</f>
        <v/>
      </c>
      <c r="E35" s="62" t="str">
        <f>IF(Biometria!E45=0,"",Biometria!E45)</f>
        <v/>
      </c>
      <c r="F35" s="62" t="str">
        <f>IF(Biometria!F45=0,"",Biometria!F45)</f>
        <v/>
      </c>
      <c r="G35" s="62" t="str">
        <f>IF(Biometria!G45=0,"",Biometria!G45)</f>
        <v/>
      </c>
      <c r="H35" s="62" t="str">
        <f>IF(Biometria!H45=0,"",Biometria!H45)</f>
        <v/>
      </c>
      <c r="I35" s="62" t="str">
        <f>IF(Biometria!I45=0,"",Biometria!I45)</f>
        <v/>
      </c>
      <c r="J35" s="62" t="str">
        <f>IF(Biometria!J45=0,"",Biometria!J45)</f>
        <v/>
      </c>
      <c r="K35" s="62" t="str">
        <f>IF(Biometria!K45=0,"",Biometria!K45)</f>
        <v/>
      </c>
    </row>
    <row r="36" spans="1:11" x14ac:dyDescent="0.25">
      <c r="A36" s="62" t="str">
        <f>IF(LEN(B35)&gt;0,Biometria!A46,"")</f>
        <v/>
      </c>
      <c r="B36" s="62" t="str">
        <f>IF(LEN(Biometria!B46)=0,"",Biometria!B46)</f>
        <v/>
      </c>
      <c r="C36" s="62" t="str">
        <f>IF(Biometria!C46=0,"",Biometria!C46)</f>
        <v/>
      </c>
      <c r="D36" s="62" t="str">
        <f>IF(Biometria!D46=0,"",Biometria!D46)</f>
        <v/>
      </c>
      <c r="E36" s="62" t="str">
        <f>IF(Biometria!E46=0,"",Biometria!E46)</f>
        <v/>
      </c>
      <c r="F36" s="62" t="str">
        <f>IF(Biometria!F46=0,"",Biometria!F46)</f>
        <v/>
      </c>
      <c r="G36" s="62" t="str">
        <f>IF(Biometria!G46=0,"",Biometria!G46)</f>
        <v/>
      </c>
      <c r="H36" s="62" t="str">
        <f>IF(Biometria!H46=0,"",Biometria!H46)</f>
        <v/>
      </c>
      <c r="I36" s="62" t="str">
        <f>IF(Biometria!I46=0,"",Biometria!I46)</f>
        <v/>
      </c>
      <c r="J36" s="62" t="str">
        <f>IF(Biometria!J46=0,"",Biometria!J46)</f>
        <v/>
      </c>
      <c r="K36" s="62" t="str">
        <f>IF(Biometria!K46=0,"",Biometria!K46)</f>
        <v/>
      </c>
    </row>
    <row r="37" spans="1:11" x14ac:dyDescent="0.25">
      <c r="A37" s="62" t="str">
        <f>IF(LEN(B36)&gt;0,Biometria!A47,"")</f>
        <v/>
      </c>
      <c r="B37" s="62" t="str">
        <f>IF(LEN(Biometria!B47)=0,"",Biometria!B47)</f>
        <v/>
      </c>
      <c r="C37" s="62" t="str">
        <f>IF(Biometria!C47=0,"",Biometria!C47)</f>
        <v/>
      </c>
      <c r="D37" s="62" t="str">
        <f>IF(Biometria!D47=0,"",Biometria!D47)</f>
        <v/>
      </c>
      <c r="E37" s="62" t="str">
        <f>IF(Biometria!E47=0,"",Biometria!E47)</f>
        <v/>
      </c>
      <c r="F37" s="62" t="str">
        <f>IF(Biometria!F47=0,"",Biometria!F47)</f>
        <v/>
      </c>
      <c r="G37" s="62" t="str">
        <f>IF(Biometria!G47=0,"",Biometria!G47)</f>
        <v/>
      </c>
      <c r="H37" s="62" t="str">
        <f>IF(Biometria!H47=0,"",Biometria!H47)</f>
        <v/>
      </c>
      <c r="I37" s="62" t="str">
        <f>IF(Biometria!I47=0,"",Biometria!I47)</f>
        <v/>
      </c>
      <c r="J37" s="62" t="str">
        <f>IF(Biometria!J47=0,"",Biometria!J47)</f>
        <v/>
      </c>
      <c r="K37" s="62" t="str">
        <f>IF(Biometria!K47=0,"",Biometria!K47)</f>
        <v/>
      </c>
    </row>
    <row r="38" spans="1:11" x14ac:dyDescent="0.25">
      <c r="A38" s="62" t="str">
        <f>IF(LEN(B37)&gt;0,Biometria!A48,"")</f>
        <v/>
      </c>
      <c r="B38" s="62" t="str">
        <f>IF(LEN(Biometria!B48)=0,"",Biometria!B48)</f>
        <v/>
      </c>
      <c r="C38" s="62" t="str">
        <f>IF(Biometria!C48=0,"",Biometria!C48)</f>
        <v/>
      </c>
      <c r="D38" s="62" t="str">
        <f>IF(Biometria!D48=0,"",Biometria!D48)</f>
        <v/>
      </c>
      <c r="E38" s="62" t="str">
        <f>IF(Biometria!E48=0,"",Biometria!E48)</f>
        <v/>
      </c>
      <c r="F38" s="62" t="str">
        <f>IF(Biometria!F48=0,"",Biometria!F48)</f>
        <v/>
      </c>
      <c r="G38" s="62" t="str">
        <f>IF(Biometria!G48=0,"",Biometria!G48)</f>
        <v/>
      </c>
      <c r="H38" s="62" t="str">
        <f>IF(Biometria!H48=0,"",Biometria!H48)</f>
        <v/>
      </c>
      <c r="I38" s="62" t="str">
        <f>IF(Biometria!I48=0,"",Biometria!I48)</f>
        <v/>
      </c>
      <c r="J38" s="62" t="str">
        <f>IF(Biometria!J48=0,"",Biometria!J48)</f>
        <v/>
      </c>
      <c r="K38" s="62" t="str">
        <f>IF(Biometria!K48=0,"",Biometria!K48)</f>
        <v/>
      </c>
    </row>
    <row r="39" spans="1:11" x14ac:dyDescent="0.25">
      <c r="A39" s="62" t="str">
        <f>IF(LEN(B38)&gt;0,Biometria!A49,"")</f>
        <v/>
      </c>
      <c r="B39" s="62" t="str">
        <f>IF(LEN(Biometria!B49)=0,"",Biometria!B49)</f>
        <v/>
      </c>
      <c r="C39" s="62" t="str">
        <f>IF(Biometria!C49=0,"",Biometria!C49)</f>
        <v/>
      </c>
      <c r="D39" s="62" t="str">
        <f>IF(Biometria!D49=0,"",Biometria!D49)</f>
        <v/>
      </c>
      <c r="E39" s="62" t="str">
        <f>IF(Biometria!E49=0,"",Biometria!E49)</f>
        <v/>
      </c>
      <c r="F39" s="62" t="str">
        <f>IF(Biometria!F49=0,"",Biometria!F49)</f>
        <v/>
      </c>
      <c r="G39" s="62" t="str">
        <f>IF(Biometria!G49=0,"",Biometria!G49)</f>
        <v/>
      </c>
      <c r="H39" s="62" t="str">
        <f>IF(Biometria!H49=0,"",Biometria!H49)</f>
        <v/>
      </c>
      <c r="I39" s="62" t="str">
        <f>IF(Biometria!I49=0,"",Biometria!I49)</f>
        <v/>
      </c>
      <c r="J39" s="62" t="str">
        <f>IF(Biometria!J49=0,"",Biometria!J49)</f>
        <v/>
      </c>
      <c r="K39" s="62" t="str">
        <f>IF(Biometria!K49=0,"",Biometria!K49)</f>
        <v/>
      </c>
    </row>
    <row r="40" spans="1:11" x14ac:dyDescent="0.25">
      <c r="A40" s="62" t="str">
        <f>IF(LEN(B39)&gt;0,Biometria!A50,"")</f>
        <v/>
      </c>
      <c r="B40" s="62" t="str">
        <f>IF(LEN(Biometria!B50)=0,"",Biometria!B50)</f>
        <v/>
      </c>
      <c r="C40" s="62" t="str">
        <f>IF(Biometria!C50=0,"",Biometria!C50)</f>
        <v/>
      </c>
      <c r="D40" s="62" t="str">
        <f>IF(Biometria!D50=0,"",Biometria!D50)</f>
        <v/>
      </c>
      <c r="E40" s="62" t="str">
        <f>IF(Biometria!E50=0,"",Biometria!E50)</f>
        <v/>
      </c>
      <c r="F40" s="62" t="str">
        <f>IF(Biometria!F50=0,"",Biometria!F50)</f>
        <v/>
      </c>
      <c r="G40" s="62" t="str">
        <f>IF(Biometria!G50=0,"",Biometria!G50)</f>
        <v/>
      </c>
      <c r="H40" s="62" t="str">
        <f>IF(Biometria!H50=0,"",Biometria!H50)</f>
        <v/>
      </c>
      <c r="I40" s="62" t="str">
        <f>IF(Biometria!I50=0,"",Biometria!I50)</f>
        <v/>
      </c>
      <c r="J40" s="62" t="str">
        <f>IF(Biometria!J50=0,"",Biometria!J50)</f>
        <v/>
      </c>
      <c r="K40" s="62" t="str">
        <f>IF(Biometria!K50=0,"",Biometria!K50)</f>
        <v/>
      </c>
    </row>
    <row r="41" spans="1:11" x14ac:dyDescent="0.25">
      <c r="A41" s="62" t="str">
        <f>IF(LEN(B40)&gt;0,Biometria!A51,"")</f>
        <v/>
      </c>
      <c r="B41" s="62" t="str">
        <f>IF(LEN(Biometria!B51)=0,"",Biometria!B51)</f>
        <v/>
      </c>
      <c r="C41" s="62" t="str">
        <f>IF(Biometria!C51=0,"",Biometria!C51)</f>
        <v/>
      </c>
      <c r="D41" s="62" t="str">
        <f>IF(Biometria!D51=0,"",Biometria!D51)</f>
        <v/>
      </c>
      <c r="E41" s="62" t="str">
        <f>IF(Biometria!E51=0,"",Biometria!E51)</f>
        <v/>
      </c>
      <c r="F41" s="62" t="str">
        <f>IF(Biometria!F51=0,"",Biometria!F51)</f>
        <v/>
      </c>
      <c r="G41" s="62" t="str">
        <f>IF(Biometria!G51=0,"",Biometria!G51)</f>
        <v/>
      </c>
      <c r="H41" s="62" t="str">
        <f>IF(Biometria!H51=0,"",Biometria!H51)</f>
        <v/>
      </c>
      <c r="I41" s="62" t="str">
        <f>IF(Biometria!I51=0,"",Biometria!I51)</f>
        <v/>
      </c>
      <c r="J41" s="62" t="str">
        <f>IF(Biometria!J51=0,"",Biometria!J51)</f>
        <v/>
      </c>
      <c r="K41" s="62" t="str">
        <f>IF(Biometria!K51=0,"",Biometria!K51)</f>
        <v/>
      </c>
    </row>
    <row r="42" spans="1:11" x14ac:dyDescent="0.25">
      <c r="A42" s="62" t="str">
        <f>IF(LEN(B41)&gt;0,Biometria!A52,"")</f>
        <v/>
      </c>
      <c r="B42" s="62" t="str">
        <f>IF(LEN(Biometria!B52)=0,"",Biometria!B52)</f>
        <v/>
      </c>
      <c r="C42" s="62" t="str">
        <f>IF(Biometria!C52=0,"",Biometria!C52)</f>
        <v/>
      </c>
      <c r="D42" s="62" t="str">
        <f>IF(Biometria!D52=0,"",Biometria!D52)</f>
        <v/>
      </c>
      <c r="E42" s="62" t="str">
        <f>IF(Biometria!E52=0,"",Biometria!E52)</f>
        <v/>
      </c>
      <c r="F42" s="62" t="str">
        <f>IF(Biometria!F52=0,"",Biometria!F52)</f>
        <v/>
      </c>
      <c r="G42" s="62" t="str">
        <f>IF(Biometria!G52=0,"",Biometria!G52)</f>
        <v/>
      </c>
      <c r="H42" s="62" t="str">
        <f>IF(Biometria!H52=0,"",Biometria!H52)</f>
        <v/>
      </c>
      <c r="I42" s="62" t="str">
        <f>IF(Biometria!I52=0,"",Biometria!I52)</f>
        <v/>
      </c>
      <c r="J42" s="62" t="str">
        <f>IF(Biometria!J52=0,"",Biometria!J52)</f>
        <v/>
      </c>
      <c r="K42" s="62" t="str">
        <f>IF(Biometria!K52=0,"",Biometria!K52)</f>
        <v/>
      </c>
    </row>
    <row r="43" spans="1:11" x14ac:dyDescent="0.25">
      <c r="A43" s="62" t="str">
        <f>IF(LEN(B42)&gt;0,Biometria!A53,"")</f>
        <v/>
      </c>
      <c r="B43" s="62" t="str">
        <f>IF(LEN(Biometria!B53)=0,"",Biometria!B53)</f>
        <v/>
      </c>
      <c r="C43" s="62" t="str">
        <f>IF(Biometria!C53=0,"",Biometria!C53)</f>
        <v/>
      </c>
      <c r="D43" s="62" t="str">
        <f>IF(Biometria!D53=0,"",Biometria!D53)</f>
        <v/>
      </c>
      <c r="E43" s="62" t="str">
        <f>IF(Biometria!E53=0,"",Biometria!E53)</f>
        <v/>
      </c>
      <c r="F43" s="62" t="str">
        <f>IF(Biometria!F53=0,"",Biometria!F53)</f>
        <v/>
      </c>
      <c r="G43" s="62" t="str">
        <f>IF(Biometria!G53=0,"",Biometria!G53)</f>
        <v/>
      </c>
      <c r="H43" s="62" t="str">
        <f>IF(Biometria!H53=0,"",Biometria!H53)</f>
        <v/>
      </c>
      <c r="I43" s="62" t="str">
        <f>IF(Biometria!I53=0,"",Biometria!I53)</f>
        <v/>
      </c>
      <c r="J43" s="62" t="str">
        <f>IF(Biometria!J53=0,"",Biometria!J53)</f>
        <v/>
      </c>
      <c r="K43" s="62" t="str">
        <f>IF(Biometria!K53=0,"",Biometria!K53)</f>
        <v/>
      </c>
    </row>
    <row r="44" spans="1:11" x14ac:dyDescent="0.25">
      <c r="A44" s="62" t="str">
        <f>IF(LEN(B43)&gt;0,Biometria!A54,"")</f>
        <v/>
      </c>
      <c r="B44" s="62" t="str">
        <f>IF(LEN(Biometria!B54)=0,"",Biometria!B54)</f>
        <v/>
      </c>
      <c r="C44" s="62" t="str">
        <f>IF(Biometria!C54=0,"",Biometria!C54)</f>
        <v/>
      </c>
      <c r="D44" s="62" t="str">
        <f>IF(Biometria!D54=0,"",Biometria!D54)</f>
        <v/>
      </c>
      <c r="E44" s="62" t="str">
        <f>IF(Biometria!E54=0,"",Biometria!E54)</f>
        <v/>
      </c>
      <c r="F44" s="62" t="str">
        <f>IF(Biometria!F54=0,"",Biometria!F54)</f>
        <v/>
      </c>
      <c r="G44" s="62" t="str">
        <f>IF(Biometria!G54=0,"",Biometria!G54)</f>
        <v/>
      </c>
      <c r="H44" s="62" t="str">
        <f>IF(Biometria!H54=0,"",Biometria!H54)</f>
        <v/>
      </c>
      <c r="I44" s="62" t="str">
        <f>IF(Biometria!I54=0,"",Biometria!I54)</f>
        <v/>
      </c>
      <c r="J44" s="62" t="str">
        <f>IF(Biometria!J54=0,"",Biometria!J54)</f>
        <v/>
      </c>
      <c r="K44" s="62" t="str">
        <f>IF(Biometria!K54=0,"",Biometria!K54)</f>
        <v/>
      </c>
    </row>
    <row r="45" spans="1:11" x14ac:dyDescent="0.25">
      <c r="A45" s="62" t="str">
        <f>IF(LEN(B44)&gt;0,Biometria!A55,"")</f>
        <v/>
      </c>
      <c r="B45" s="62" t="str">
        <f>IF(LEN(Biometria!B55)=0,"",Biometria!B55)</f>
        <v/>
      </c>
      <c r="C45" s="62" t="str">
        <f>IF(Biometria!C55=0,"",Biometria!C55)</f>
        <v/>
      </c>
      <c r="D45" s="62" t="str">
        <f>IF(Biometria!D55=0,"",Biometria!D55)</f>
        <v/>
      </c>
      <c r="E45" s="62" t="str">
        <f>IF(Biometria!E55=0,"",Biometria!E55)</f>
        <v/>
      </c>
      <c r="F45" s="62" t="str">
        <f>IF(Biometria!F55=0,"",Biometria!F55)</f>
        <v/>
      </c>
      <c r="G45" s="62" t="str">
        <f>IF(Biometria!G55=0,"",Biometria!G55)</f>
        <v/>
      </c>
      <c r="H45" s="62" t="str">
        <f>IF(Biometria!H55=0,"",Biometria!H55)</f>
        <v/>
      </c>
      <c r="I45" s="62" t="str">
        <f>IF(Biometria!I55=0,"",Biometria!I55)</f>
        <v/>
      </c>
      <c r="J45" s="62" t="str">
        <f>IF(Biometria!J55=0,"",Biometria!J55)</f>
        <v/>
      </c>
      <c r="K45" s="62" t="str">
        <f>IF(Biometria!K55=0,"",Biometria!K55)</f>
        <v/>
      </c>
    </row>
    <row r="46" spans="1:11" x14ac:dyDescent="0.25">
      <c r="A46" s="62" t="str">
        <f>IF(LEN(B45)&gt;0,Biometria!A56,"")</f>
        <v/>
      </c>
      <c r="B46" s="62" t="str">
        <f>IF(LEN(Biometria!B56)=0,"",Biometria!B56)</f>
        <v/>
      </c>
      <c r="C46" s="62" t="str">
        <f>IF(Biometria!C56=0,"",Biometria!C56)</f>
        <v/>
      </c>
      <c r="D46" s="62" t="str">
        <f>IF(Biometria!D56=0,"",Biometria!D56)</f>
        <v/>
      </c>
      <c r="E46" s="62" t="str">
        <f>IF(Biometria!E56=0,"",Biometria!E56)</f>
        <v/>
      </c>
      <c r="F46" s="62" t="str">
        <f>IF(Biometria!F56=0,"",Biometria!F56)</f>
        <v/>
      </c>
      <c r="G46" s="62" t="str">
        <f>IF(Biometria!G56=0,"",Biometria!G56)</f>
        <v/>
      </c>
      <c r="H46" s="62" t="str">
        <f>IF(Biometria!H56=0,"",Biometria!H56)</f>
        <v/>
      </c>
      <c r="I46" s="62" t="str">
        <f>IF(Biometria!I56=0,"",Biometria!I56)</f>
        <v/>
      </c>
      <c r="J46" s="62" t="str">
        <f>IF(Biometria!J56=0,"",Biometria!J56)</f>
        <v/>
      </c>
      <c r="K46" s="62" t="str">
        <f>IF(Biometria!K56=0,"",Biometria!K56)</f>
        <v/>
      </c>
    </row>
    <row r="47" spans="1:11" x14ac:dyDescent="0.25">
      <c r="A47" s="62" t="str">
        <f>IF(LEN(B46)&gt;0,Biometria!A57,"")</f>
        <v/>
      </c>
      <c r="B47" s="62" t="str">
        <f>IF(LEN(Biometria!B57)=0,"",Biometria!B57)</f>
        <v/>
      </c>
      <c r="C47" s="62" t="str">
        <f>IF(Biometria!C57=0,"",Biometria!C57)</f>
        <v/>
      </c>
      <c r="D47" s="62" t="str">
        <f>IF(Biometria!D57=0,"",Biometria!D57)</f>
        <v/>
      </c>
      <c r="E47" s="62" t="str">
        <f>IF(Biometria!E57=0,"",Biometria!E57)</f>
        <v/>
      </c>
      <c r="F47" s="62" t="str">
        <f>IF(Biometria!F57=0,"",Biometria!F57)</f>
        <v/>
      </c>
      <c r="G47" s="62" t="str">
        <f>IF(Biometria!G57=0,"",Biometria!G57)</f>
        <v/>
      </c>
      <c r="H47" s="62" t="str">
        <f>IF(Biometria!H57=0,"",Biometria!H57)</f>
        <v/>
      </c>
      <c r="I47" s="62" t="str">
        <f>IF(Biometria!I57=0,"",Biometria!I57)</f>
        <v/>
      </c>
      <c r="J47" s="62" t="str">
        <f>IF(Biometria!J57=0,"",Biometria!J57)</f>
        <v/>
      </c>
      <c r="K47" s="62" t="str">
        <f>IF(Biometria!K57=0,"",Biometria!K57)</f>
        <v/>
      </c>
    </row>
    <row r="48" spans="1:11" x14ac:dyDescent="0.25">
      <c r="A48" s="62" t="str">
        <f>IF(LEN(B47)&gt;0,Biometria!A58,"")</f>
        <v/>
      </c>
      <c r="B48" s="62" t="str">
        <f>IF(LEN(Biometria!B58)=0,"",Biometria!B58)</f>
        <v/>
      </c>
      <c r="C48" s="62" t="str">
        <f>IF(Biometria!C58=0,"",Biometria!C58)</f>
        <v/>
      </c>
      <c r="D48" s="62" t="str">
        <f>IF(Biometria!D58=0,"",Biometria!D58)</f>
        <v/>
      </c>
      <c r="E48" s="62" t="str">
        <f>IF(Biometria!E58=0,"",Biometria!E58)</f>
        <v/>
      </c>
      <c r="F48" s="62" t="str">
        <f>IF(Biometria!F58=0,"",Biometria!F58)</f>
        <v/>
      </c>
      <c r="G48" s="62" t="str">
        <f>IF(Biometria!G58=0,"",Biometria!G58)</f>
        <v/>
      </c>
      <c r="H48" s="62" t="str">
        <f>IF(Biometria!H58=0,"",Biometria!H58)</f>
        <v/>
      </c>
      <c r="I48" s="62" t="str">
        <f>IF(Biometria!I58=0,"",Biometria!I58)</f>
        <v/>
      </c>
      <c r="J48" s="62" t="str">
        <f>IF(Biometria!J58=0,"",Biometria!J58)</f>
        <v/>
      </c>
      <c r="K48" s="62" t="str">
        <f>IF(Biometria!K58=0,"",Biometria!K58)</f>
        <v/>
      </c>
    </row>
    <row r="49" spans="1:11" x14ac:dyDescent="0.25">
      <c r="A49" s="62" t="str">
        <f>IF(LEN(B48)&gt;0,Biometria!A59,"")</f>
        <v/>
      </c>
      <c r="B49" s="62" t="str">
        <f>IF(LEN(Biometria!B59)=0,"",Biometria!B59)</f>
        <v/>
      </c>
      <c r="C49" s="62" t="str">
        <f>IF(Biometria!C59=0,"",Biometria!C59)</f>
        <v/>
      </c>
      <c r="D49" s="62" t="str">
        <f>IF(Biometria!D59=0,"",Biometria!D59)</f>
        <v/>
      </c>
      <c r="E49" s="62" t="str">
        <f>IF(Biometria!E59=0,"",Biometria!E59)</f>
        <v/>
      </c>
      <c r="F49" s="62" t="str">
        <f>IF(Biometria!F59=0,"",Biometria!F59)</f>
        <v/>
      </c>
      <c r="G49" s="62" t="str">
        <f>IF(Biometria!G59=0,"",Biometria!G59)</f>
        <v/>
      </c>
      <c r="H49" s="62" t="str">
        <f>IF(Biometria!H59=0,"",Biometria!H59)</f>
        <v/>
      </c>
      <c r="I49" s="62" t="str">
        <f>IF(Biometria!I59=0,"",Biometria!I59)</f>
        <v/>
      </c>
      <c r="J49" s="62" t="str">
        <f>IF(Biometria!J59=0,"",Biometria!J59)</f>
        <v/>
      </c>
      <c r="K49" s="62" t="str">
        <f>IF(Biometria!K59=0,"",Biometria!K59)</f>
        <v/>
      </c>
    </row>
    <row r="50" spans="1:11" x14ac:dyDescent="0.25">
      <c r="A50" s="62" t="str">
        <f>IF(LEN(B49)&gt;0,Biometria!A60,"")</f>
        <v/>
      </c>
      <c r="B50" s="62" t="str">
        <f>IF(LEN(Biometria!B60)=0,"",Biometria!B60)</f>
        <v/>
      </c>
      <c r="C50" s="62" t="str">
        <f>IF(Biometria!C60=0,"",Biometria!C60)</f>
        <v/>
      </c>
      <c r="D50" s="62" t="str">
        <f>IF(Biometria!D60=0,"",Biometria!D60)</f>
        <v/>
      </c>
      <c r="E50" s="62" t="str">
        <f>IF(Biometria!E60=0,"",Biometria!E60)</f>
        <v/>
      </c>
      <c r="F50" s="62" t="str">
        <f>IF(Biometria!F60=0,"",Biometria!F60)</f>
        <v/>
      </c>
      <c r="G50" s="62" t="str">
        <f>IF(Biometria!G60=0,"",Biometria!G60)</f>
        <v/>
      </c>
      <c r="H50" s="62" t="str">
        <f>IF(Biometria!H60=0,"",Biometria!H60)</f>
        <v/>
      </c>
      <c r="I50" s="62" t="str">
        <f>IF(Biometria!I60=0,"",Biometria!I60)</f>
        <v/>
      </c>
      <c r="J50" s="62" t="str">
        <f>IF(Biometria!J60=0,"",Biometria!J60)</f>
        <v/>
      </c>
      <c r="K50" s="62" t="str">
        <f>IF(Biometria!K60=0,"",Biometria!K60)</f>
        <v/>
      </c>
    </row>
    <row r="51" spans="1:11" x14ac:dyDescent="0.25">
      <c r="A51" s="62" t="str">
        <f>IF(LEN(B50)&gt;0,Biometria!A61,"")</f>
        <v/>
      </c>
      <c r="B51" s="62" t="str">
        <f>IF(LEN(Biometria!B61)=0,"",Biometria!B61)</f>
        <v/>
      </c>
      <c r="C51" s="62" t="str">
        <f>IF(Biometria!C61=0,"",Biometria!C61)</f>
        <v/>
      </c>
      <c r="D51" s="62" t="str">
        <f>IF(Biometria!D61=0,"",Biometria!D61)</f>
        <v/>
      </c>
      <c r="E51" s="62" t="str">
        <f>IF(Biometria!E61=0,"",Biometria!E61)</f>
        <v/>
      </c>
      <c r="F51" s="62" t="str">
        <f>IF(Biometria!F61=0,"",Biometria!F61)</f>
        <v/>
      </c>
      <c r="G51" s="62" t="str">
        <f>IF(Biometria!G61=0,"",Biometria!G61)</f>
        <v/>
      </c>
      <c r="H51" s="62" t="str">
        <f>IF(Biometria!H61=0,"",Biometria!H61)</f>
        <v/>
      </c>
      <c r="I51" s="62" t="str">
        <f>IF(Biometria!I61=0,"",Biometria!I61)</f>
        <v/>
      </c>
      <c r="J51" s="62" t="str">
        <f>IF(Biometria!J61=0,"",Biometria!J61)</f>
        <v/>
      </c>
      <c r="K51" s="62" t="str">
        <f>IF(Biometria!K61=0,"",Biometria!K61)</f>
        <v/>
      </c>
    </row>
    <row r="52" spans="1:11" x14ac:dyDescent="0.25">
      <c r="A52" s="62" t="str">
        <f>IF(LEN(B51)&gt;0,Biometria!A62,"")</f>
        <v/>
      </c>
      <c r="B52" s="62" t="str">
        <f>IF(LEN(Biometria!B62)=0,"",Biometria!B62)</f>
        <v/>
      </c>
      <c r="C52" s="62" t="str">
        <f>IF(Biometria!C62=0,"",Biometria!C62)</f>
        <v/>
      </c>
      <c r="D52" s="62" t="str">
        <f>IF(Biometria!D62=0,"",Biometria!D62)</f>
        <v/>
      </c>
      <c r="E52" s="62" t="str">
        <f>IF(Biometria!E62=0,"",Biometria!E62)</f>
        <v/>
      </c>
      <c r="F52" s="62" t="str">
        <f>IF(Biometria!F62=0,"",Biometria!F62)</f>
        <v/>
      </c>
      <c r="G52" s="62" t="str">
        <f>IF(Biometria!G62=0,"",Biometria!G62)</f>
        <v/>
      </c>
      <c r="H52" s="62" t="str">
        <f>IF(Biometria!H62=0,"",Biometria!H62)</f>
        <v/>
      </c>
      <c r="I52" s="62" t="str">
        <f>IF(Biometria!I62=0,"",Biometria!I62)</f>
        <v/>
      </c>
      <c r="J52" s="62" t="str">
        <f>IF(Biometria!J62=0,"",Biometria!J62)</f>
        <v/>
      </c>
      <c r="K52" s="62" t="str">
        <f>IF(Biometria!K62=0,"",Biometria!K62)</f>
        <v/>
      </c>
    </row>
    <row r="53" spans="1:11" x14ac:dyDescent="0.25">
      <c r="A53" s="62" t="str">
        <f>IF(LEN(B52)&gt;0,Biometria!A63,"")</f>
        <v/>
      </c>
      <c r="B53" s="62" t="str">
        <f>IF(LEN(Biometria!B63)=0,"",Biometria!B63)</f>
        <v/>
      </c>
      <c r="C53" s="62" t="str">
        <f>IF(Biometria!C63=0,"",Biometria!C63)</f>
        <v/>
      </c>
      <c r="D53" s="62" t="str">
        <f>IF(Biometria!D63=0,"",Biometria!D63)</f>
        <v/>
      </c>
      <c r="E53" s="62" t="str">
        <f>IF(Biometria!E63=0,"",Biometria!E63)</f>
        <v/>
      </c>
      <c r="F53" s="62" t="str">
        <f>IF(Biometria!F63=0,"",Biometria!F63)</f>
        <v/>
      </c>
      <c r="G53" s="62" t="str">
        <f>IF(Biometria!G63=0,"",Biometria!G63)</f>
        <v/>
      </c>
      <c r="H53" s="62" t="str">
        <f>IF(Biometria!H63=0,"",Biometria!H63)</f>
        <v/>
      </c>
      <c r="I53" s="62" t="str">
        <f>IF(Biometria!I63=0,"",Biometria!I63)</f>
        <v/>
      </c>
      <c r="J53" s="62" t="str">
        <f>IF(Biometria!J63=0,"",Biometria!J63)</f>
        <v/>
      </c>
      <c r="K53" s="62" t="str">
        <f>IF(Biometria!K63=0,"",Biometria!K63)</f>
        <v/>
      </c>
    </row>
    <row r="54" spans="1:11" x14ac:dyDescent="0.25">
      <c r="A54" s="62" t="str">
        <f>IF(LEN(B53)&gt;0,Biometria!A64,"")</f>
        <v/>
      </c>
      <c r="B54" s="62" t="str">
        <f>IF(LEN(Biometria!B64)=0,"",Biometria!B64)</f>
        <v/>
      </c>
      <c r="C54" s="62" t="str">
        <f>IF(Biometria!C64=0,"",Biometria!C64)</f>
        <v/>
      </c>
      <c r="D54" s="62" t="str">
        <f>IF(Biometria!D64=0,"",Biometria!D64)</f>
        <v/>
      </c>
      <c r="E54" s="62" t="str">
        <f>IF(Biometria!E64=0,"",Biometria!E64)</f>
        <v/>
      </c>
      <c r="F54" s="62" t="str">
        <f>IF(Biometria!F64=0,"",Biometria!F64)</f>
        <v/>
      </c>
      <c r="G54" s="62" t="str">
        <f>IF(Biometria!G64=0,"",Biometria!G64)</f>
        <v/>
      </c>
      <c r="H54" s="62" t="str">
        <f>IF(Biometria!H64=0,"",Biometria!H64)</f>
        <v/>
      </c>
      <c r="I54" s="62" t="str">
        <f>IF(Biometria!I64=0,"",Biometria!I64)</f>
        <v/>
      </c>
      <c r="J54" s="62" t="str">
        <f>IF(Biometria!J64=0,"",Biometria!J64)</f>
        <v/>
      </c>
      <c r="K54" s="62" t="str">
        <f>IF(Biometria!K64=0,"",Biometria!K64)</f>
        <v/>
      </c>
    </row>
    <row r="55" spans="1:11" x14ac:dyDescent="0.25">
      <c r="A55" s="62" t="str">
        <f>IF(LEN(B54)&gt;0,Biometria!A65,"")</f>
        <v/>
      </c>
      <c r="B55" s="62" t="str">
        <f>IF(LEN(Biometria!B65)=0,"",Biometria!B65)</f>
        <v/>
      </c>
      <c r="C55" s="62" t="str">
        <f>IF(Biometria!C65=0,"",Biometria!C65)</f>
        <v/>
      </c>
      <c r="D55" s="62" t="str">
        <f>IF(Biometria!D65=0,"",Biometria!D65)</f>
        <v/>
      </c>
      <c r="E55" s="62" t="str">
        <f>IF(Biometria!E65=0,"",Biometria!E65)</f>
        <v/>
      </c>
      <c r="F55" s="62" t="str">
        <f>IF(Biometria!F65=0,"",Biometria!F65)</f>
        <v/>
      </c>
      <c r="G55" s="62" t="str">
        <f>IF(Biometria!G65=0,"",Biometria!G65)</f>
        <v/>
      </c>
      <c r="H55" s="62" t="str">
        <f>IF(Biometria!H65=0,"",Biometria!H65)</f>
        <v/>
      </c>
      <c r="I55" s="62" t="str">
        <f>IF(Biometria!I65=0,"",Biometria!I65)</f>
        <v/>
      </c>
      <c r="J55" s="62" t="str">
        <f>IF(Biometria!J65=0,"",Biometria!J65)</f>
        <v/>
      </c>
      <c r="K55" s="62" t="str">
        <f>IF(Biometria!K65=0,"",Biometria!K65)</f>
        <v/>
      </c>
    </row>
    <row r="56" spans="1:11" x14ac:dyDescent="0.25">
      <c r="A56" s="62" t="str">
        <f>IF(LEN(B55)&gt;0,Biometria!A66,"")</f>
        <v/>
      </c>
      <c r="B56" s="62" t="str">
        <f>IF(LEN(Biometria!B66)=0,"",Biometria!B66)</f>
        <v/>
      </c>
      <c r="C56" s="62" t="str">
        <f>IF(Biometria!C66=0,"",Biometria!C66)</f>
        <v/>
      </c>
      <c r="D56" s="62" t="str">
        <f>IF(Biometria!D66=0,"",Biometria!D66)</f>
        <v/>
      </c>
      <c r="E56" s="62" t="str">
        <f>IF(Biometria!E66=0,"",Biometria!E66)</f>
        <v/>
      </c>
      <c r="F56" s="62" t="str">
        <f>IF(Biometria!F66=0,"",Biometria!F66)</f>
        <v/>
      </c>
      <c r="G56" s="62" t="str">
        <f>IF(Biometria!G66=0,"",Biometria!G66)</f>
        <v/>
      </c>
      <c r="H56" s="62" t="str">
        <f>IF(Biometria!H66=0,"",Biometria!H66)</f>
        <v/>
      </c>
      <c r="I56" s="62" t="str">
        <f>IF(Biometria!I66=0,"",Biometria!I66)</f>
        <v/>
      </c>
      <c r="J56" s="62" t="str">
        <f>IF(Biometria!J66=0,"",Biometria!J66)</f>
        <v/>
      </c>
      <c r="K56" s="62" t="str">
        <f>IF(Biometria!K66=0,"",Biometria!K66)</f>
        <v/>
      </c>
    </row>
    <row r="57" spans="1:11" x14ac:dyDescent="0.25">
      <c r="A57" s="62" t="str">
        <f>IF(LEN(B56)&gt;0,Biometria!A67,"")</f>
        <v/>
      </c>
      <c r="B57" s="62" t="str">
        <f>IF(LEN(Biometria!B67)=0,"",Biometria!B67)</f>
        <v/>
      </c>
      <c r="C57" s="62" t="str">
        <f>IF(Biometria!C67=0,"",Biometria!C67)</f>
        <v/>
      </c>
      <c r="D57" s="62" t="str">
        <f>IF(Biometria!D67=0,"",Biometria!D67)</f>
        <v/>
      </c>
      <c r="E57" s="62" t="str">
        <f>IF(Biometria!E67=0,"",Biometria!E67)</f>
        <v/>
      </c>
      <c r="F57" s="62" t="str">
        <f>IF(Biometria!F67=0,"",Biometria!F67)</f>
        <v/>
      </c>
      <c r="G57" s="62" t="str">
        <f>IF(Biometria!G67=0,"",Biometria!G67)</f>
        <v/>
      </c>
      <c r="H57" s="62" t="str">
        <f>IF(Biometria!H67=0,"",Biometria!H67)</f>
        <v/>
      </c>
      <c r="I57" s="62" t="str">
        <f>IF(Biometria!I67=0,"",Biometria!I67)</f>
        <v/>
      </c>
      <c r="J57" s="62" t="str">
        <f>IF(Biometria!J67=0,"",Biometria!J67)</f>
        <v/>
      </c>
      <c r="K57" s="62" t="str">
        <f>IF(Biometria!K67=0,"",Biometria!K67)</f>
        <v/>
      </c>
    </row>
    <row r="58" spans="1:11" x14ac:dyDescent="0.25">
      <c r="A58" s="62" t="str">
        <f>IF(LEN(B57)&gt;0,Biometria!A68,"")</f>
        <v/>
      </c>
      <c r="B58" s="62" t="str">
        <f>IF(LEN(Biometria!B68)=0,"",Biometria!B68)</f>
        <v/>
      </c>
      <c r="C58" s="62" t="str">
        <f>IF(Biometria!C68=0,"",Biometria!C68)</f>
        <v/>
      </c>
      <c r="D58" s="62" t="str">
        <f>IF(Biometria!D68=0,"",Biometria!D68)</f>
        <v/>
      </c>
      <c r="E58" s="62" t="str">
        <f>IF(Biometria!E68=0,"",Biometria!E68)</f>
        <v/>
      </c>
      <c r="F58" s="62" t="str">
        <f>IF(Biometria!F68=0,"",Biometria!F68)</f>
        <v/>
      </c>
      <c r="G58" s="62" t="str">
        <f>IF(Biometria!G68=0,"",Biometria!G68)</f>
        <v/>
      </c>
      <c r="H58" s="62" t="str">
        <f>IF(Biometria!H68=0,"",Biometria!H68)</f>
        <v/>
      </c>
      <c r="I58" s="62" t="str">
        <f>IF(Biometria!I68=0,"",Biometria!I68)</f>
        <v/>
      </c>
      <c r="J58" s="62" t="str">
        <f>IF(Biometria!J68=0,"",Biometria!J68)</f>
        <v/>
      </c>
      <c r="K58" s="62" t="str">
        <f>IF(Biometria!K68=0,"",Biometria!K68)</f>
        <v/>
      </c>
    </row>
    <row r="59" spans="1:11" x14ac:dyDescent="0.25">
      <c r="A59" s="62" t="str">
        <f>IF(LEN(B58)&gt;0,Biometria!A69,"")</f>
        <v/>
      </c>
      <c r="B59" s="62" t="str">
        <f>IF(LEN(Biometria!B69)=0,"",Biometria!B69)</f>
        <v/>
      </c>
      <c r="C59" s="62" t="str">
        <f>IF(Biometria!C69=0,"",Biometria!C69)</f>
        <v/>
      </c>
      <c r="D59" s="62" t="str">
        <f>IF(Biometria!D69=0,"",Biometria!D69)</f>
        <v/>
      </c>
      <c r="E59" s="62" t="str">
        <f>IF(Biometria!E69=0,"",Biometria!E69)</f>
        <v/>
      </c>
      <c r="F59" s="62" t="str">
        <f>IF(Biometria!F69=0,"",Biometria!F69)</f>
        <v/>
      </c>
      <c r="G59" s="62" t="str">
        <f>IF(Biometria!G69=0,"",Biometria!G69)</f>
        <v/>
      </c>
      <c r="H59" s="62" t="str">
        <f>IF(Biometria!H69=0,"",Biometria!H69)</f>
        <v/>
      </c>
      <c r="I59" s="62" t="str">
        <f>IF(Biometria!I69=0,"",Biometria!I69)</f>
        <v/>
      </c>
      <c r="J59" s="62" t="str">
        <f>IF(Biometria!J69=0,"",Biometria!J69)</f>
        <v/>
      </c>
      <c r="K59" s="62" t="str">
        <f>IF(Biometria!K69=0,"",Biometria!K69)</f>
        <v/>
      </c>
    </row>
    <row r="60" spans="1:11" x14ac:dyDescent="0.25">
      <c r="A60" s="62" t="str">
        <f>IF(LEN(B59)&gt;0,Biometria!A70,"")</f>
        <v/>
      </c>
      <c r="B60" s="62" t="str">
        <f>IF(LEN(Biometria!B70)=0,"",Biometria!B70)</f>
        <v/>
      </c>
      <c r="C60" s="62" t="str">
        <f>IF(Biometria!C70=0,"",Biometria!C70)</f>
        <v/>
      </c>
      <c r="D60" s="62" t="str">
        <f>IF(Biometria!D70=0,"",Biometria!D70)</f>
        <v/>
      </c>
      <c r="E60" s="62" t="str">
        <f>IF(Biometria!E70=0,"",Biometria!E70)</f>
        <v/>
      </c>
      <c r="F60" s="62" t="str">
        <f>IF(Biometria!F70=0,"",Biometria!F70)</f>
        <v/>
      </c>
      <c r="G60" s="62" t="str">
        <f>IF(Biometria!G70=0,"",Biometria!G70)</f>
        <v/>
      </c>
      <c r="H60" s="62" t="str">
        <f>IF(Biometria!H70=0,"",Biometria!H70)</f>
        <v/>
      </c>
      <c r="I60" s="62" t="str">
        <f>IF(Biometria!I70=0,"",Biometria!I70)</f>
        <v/>
      </c>
      <c r="J60" s="62" t="str">
        <f>IF(Biometria!J70=0,"",Biometria!J70)</f>
        <v/>
      </c>
      <c r="K60" s="62" t="str">
        <f>IF(Biometria!K70=0,"",Biometria!K70)</f>
        <v/>
      </c>
    </row>
    <row r="61" spans="1:11" x14ac:dyDescent="0.25">
      <c r="A61" s="62" t="str">
        <f>IF(LEN(B60)&gt;0,Biometria!A71,"")</f>
        <v/>
      </c>
      <c r="B61" s="62" t="str">
        <f>IF(LEN(Biometria!B71)=0,"",Biometria!B71)</f>
        <v/>
      </c>
      <c r="C61" s="62" t="str">
        <f>IF(Biometria!C71=0,"",Biometria!C71)</f>
        <v/>
      </c>
      <c r="D61" s="62" t="str">
        <f>IF(Biometria!D71=0,"",Biometria!D71)</f>
        <v/>
      </c>
      <c r="E61" s="62" t="str">
        <f>IF(Biometria!E71=0,"",Biometria!E71)</f>
        <v/>
      </c>
      <c r="F61" s="62" t="str">
        <f>IF(Biometria!F71=0,"",Biometria!F71)</f>
        <v/>
      </c>
      <c r="G61" s="62" t="str">
        <f>IF(Biometria!G71=0,"",Biometria!G71)</f>
        <v/>
      </c>
      <c r="H61" s="62" t="str">
        <f>IF(Biometria!H71=0,"",Biometria!H71)</f>
        <v/>
      </c>
      <c r="I61" s="62" t="str">
        <f>IF(Biometria!I71=0,"",Biometria!I71)</f>
        <v/>
      </c>
      <c r="J61" s="62" t="str">
        <f>IF(Biometria!J71=0,"",Biometria!J71)</f>
        <v/>
      </c>
      <c r="K61" s="62" t="str">
        <f>IF(Biometria!K71=0,"",Biometria!K71)</f>
        <v/>
      </c>
    </row>
    <row r="62" spans="1:11" x14ac:dyDescent="0.25">
      <c r="A62" s="62" t="str">
        <f>IF(LEN(B61)&gt;0,Biometria!A72,"")</f>
        <v/>
      </c>
      <c r="B62" s="62" t="str">
        <f>IF(LEN(Biometria!B72)=0,"",Biometria!B72)</f>
        <v/>
      </c>
      <c r="C62" s="62" t="str">
        <f>IF(Biometria!C72=0,"",Biometria!C72)</f>
        <v/>
      </c>
      <c r="D62" s="62" t="str">
        <f>IF(Biometria!D72=0,"",Biometria!D72)</f>
        <v/>
      </c>
      <c r="E62" s="62" t="str">
        <f>IF(Biometria!E72=0,"",Biometria!E72)</f>
        <v/>
      </c>
      <c r="F62" s="62" t="str">
        <f>IF(Biometria!F72=0,"",Biometria!F72)</f>
        <v/>
      </c>
      <c r="G62" s="62" t="str">
        <f>IF(Biometria!G72=0,"",Biometria!G72)</f>
        <v/>
      </c>
      <c r="H62" s="62" t="str">
        <f>IF(Biometria!H72=0,"",Biometria!H72)</f>
        <v/>
      </c>
      <c r="I62" s="62" t="str">
        <f>IF(Biometria!I72=0,"",Biometria!I72)</f>
        <v/>
      </c>
      <c r="J62" s="62" t="str">
        <f>IF(Biometria!J72=0,"",Biometria!J72)</f>
        <v/>
      </c>
      <c r="K62" s="62" t="str">
        <f>IF(Biometria!K72=0,"",Biometria!K72)</f>
        <v/>
      </c>
    </row>
    <row r="63" spans="1:11" x14ac:dyDescent="0.25">
      <c r="A63" s="62" t="str">
        <f>IF(LEN(B62)&gt;0,Biometria!A73,"")</f>
        <v/>
      </c>
      <c r="B63" s="62" t="str">
        <f>IF(LEN(Biometria!B73)=0,"",Biometria!B73)</f>
        <v/>
      </c>
      <c r="C63" s="62" t="str">
        <f>IF(Biometria!C73=0,"",Biometria!C73)</f>
        <v/>
      </c>
      <c r="D63" s="62" t="str">
        <f>IF(Biometria!D73=0,"",Biometria!D73)</f>
        <v/>
      </c>
      <c r="E63" s="62" t="str">
        <f>IF(Biometria!E73=0,"",Biometria!E73)</f>
        <v/>
      </c>
      <c r="F63" s="62" t="str">
        <f>IF(Biometria!F73=0,"",Biometria!F73)</f>
        <v/>
      </c>
      <c r="G63" s="62" t="str">
        <f>IF(Biometria!G73=0,"",Biometria!G73)</f>
        <v/>
      </c>
      <c r="H63" s="62" t="str">
        <f>IF(Biometria!H73=0,"",Biometria!H73)</f>
        <v/>
      </c>
      <c r="I63" s="62" t="str">
        <f>IF(Biometria!I73=0,"",Biometria!I73)</f>
        <v/>
      </c>
      <c r="J63" s="62" t="str">
        <f>IF(Biometria!J73=0,"",Biometria!J73)</f>
        <v/>
      </c>
      <c r="K63" s="62" t="str">
        <f>IF(Biometria!K73=0,"",Biometria!K73)</f>
        <v/>
      </c>
    </row>
    <row r="64" spans="1:11" x14ac:dyDescent="0.25">
      <c r="A64" s="62" t="str">
        <f>IF(LEN(B63)&gt;0,Biometria!A74,"")</f>
        <v/>
      </c>
      <c r="B64" s="62" t="str">
        <f>IF(LEN(Biometria!B74)=0,"",Biometria!B74)</f>
        <v/>
      </c>
      <c r="C64" s="62" t="str">
        <f>IF(Biometria!C74=0,"",Biometria!C74)</f>
        <v/>
      </c>
      <c r="D64" s="62" t="str">
        <f>IF(Biometria!D74=0,"",Biometria!D74)</f>
        <v/>
      </c>
      <c r="E64" s="62" t="str">
        <f>IF(Biometria!E74=0,"",Biometria!E74)</f>
        <v/>
      </c>
      <c r="F64" s="62" t="str">
        <f>IF(Biometria!F74=0,"",Biometria!F74)</f>
        <v/>
      </c>
      <c r="G64" s="62" t="str">
        <f>IF(Biometria!G74=0,"",Biometria!G74)</f>
        <v/>
      </c>
      <c r="H64" s="62" t="str">
        <f>IF(Biometria!H74=0,"",Biometria!H74)</f>
        <v/>
      </c>
      <c r="I64" s="62" t="str">
        <f>IF(Biometria!I74=0,"",Biometria!I74)</f>
        <v/>
      </c>
      <c r="J64" s="62" t="str">
        <f>IF(Biometria!J74=0,"",Biometria!J74)</f>
        <v/>
      </c>
      <c r="K64" s="62" t="str">
        <f>IF(Biometria!K74=0,"",Biometria!K74)</f>
        <v/>
      </c>
    </row>
    <row r="65" spans="1:11" x14ac:dyDescent="0.25">
      <c r="A65" s="62" t="str">
        <f>IF(LEN(B64)&gt;0,Biometria!A75,"")</f>
        <v/>
      </c>
      <c r="B65" s="62" t="str">
        <f>IF(LEN(Biometria!B75)=0,"",Biometria!B75)</f>
        <v/>
      </c>
      <c r="C65" s="62" t="str">
        <f>IF(Biometria!C75=0,"",Biometria!C75)</f>
        <v/>
      </c>
      <c r="D65" s="62" t="str">
        <f>IF(Biometria!D75=0,"",Biometria!D75)</f>
        <v/>
      </c>
      <c r="E65" s="62" t="str">
        <f>IF(Biometria!E75=0,"",Biometria!E75)</f>
        <v/>
      </c>
      <c r="F65" s="62" t="str">
        <f>IF(Biometria!F75=0,"",Biometria!F75)</f>
        <v/>
      </c>
      <c r="G65" s="62" t="str">
        <f>IF(Biometria!G75=0,"",Biometria!G75)</f>
        <v/>
      </c>
      <c r="H65" s="62" t="str">
        <f>IF(Biometria!H75=0,"",Biometria!H75)</f>
        <v/>
      </c>
      <c r="I65" s="62" t="str">
        <f>IF(Biometria!I75=0,"",Biometria!I75)</f>
        <v/>
      </c>
      <c r="J65" s="62" t="str">
        <f>IF(Biometria!J75=0,"",Biometria!J75)</f>
        <v/>
      </c>
      <c r="K65" s="62" t="str">
        <f>IF(Biometria!K75=0,"",Biometria!K75)</f>
        <v/>
      </c>
    </row>
    <row r="66" spans="1:11" x14ac:dyDescent="0.25">
      <c r="A66" s="62" t="str">
        <f>IF(LEN(B65)&gt;0,Biometria!A76,"")</f>
        <v/>
      </c>
      <c r="B66" s="62" t="str">
        <f>IF(LEN(Biometria!B76)=0,"",Biometria!B76)</f>
        <v/>
      </c>
      <c r="C66" s="62" t="str">
        <f>IF(Biometria!C76=0,"",Biometria!C76)</f>
        <v/>
      </c>
      <c r="D66" s="62" t="str">
        <f>IF(Biometria!D76=0,"",Biometria!D76)</f>
        <v/>
      </c>
      <c r="E66" s="62" t="str">
        <f>IF(Biometria!E76=0,"",Biometria!E76)</f>
        <v/>
      </c>
      <c r="F66" s="62" t="str">
        <f>IF(Biometria!F76=0,"",Biometria!F76)</f>
        <v/>
      </c>
      <c r="G66" s="62" t="str">
        <f>IF(Biometria!G76=0,"",Biometria!G76)</f>
        <v/>
      </c>
      <c r="H66" s="62" t="str">
        <f>IF(Biometria!H76=0,"",Biometria!H76)</f>
        <v/>
      </c>
      <c r="I66" s="62" t="str">
        <f>IF(Biometria!I76=0,"",Biometria!I76)</f>
        <v/>
      </c>
      <c r="J66" s="62" t="str">
        <f>IF(Biometria!J76=0,"",Biometria!J76)</f>
        <v/>
      </c>
      <c r="K66" s="62" t="str">
        <f>IF(Biometria!K76=0,"",Biometria!K76)</f>
        <v/>
      </c>
    </row>
    <row r="67" spans="1:11" x14ac:dyDescent="0.25">
      <c r="A67" s="62" t="str">
        <f>IF(LEN(B66)&gt;0,Biometria!A77,"")</f>
        <v/>
      </c>
      <c r="B67" s="62" t="str">
        <f>IF(LEN(Biometria!B77)=0,"",Biometria!B77)</f>
        <v/>
      </c>
      <c r="C67" s="62" t="str">
        <f>IF(Biometria!C77=0,"",Biometria!C77)</f>
        <v/>
      </c>
      <c r="D67" s="62" t="str">
        <f>IF(Biometria!D77=0,"",Biometria!D77)</f>
        <v/>
      </c>
      <c r="E67" s="62" t="str">
        <f>IF(Biometria!E77=0,"",Biometria!E77)</f>
        <v/>
      </c>
      <c r="F67" s="62" t="str">
        <f>IF(Biometria!F77=0,"",Biometria!F77)</f>
        <v/>
      </c>
      <c r="G67" s="62" t="str">
        <f>IF(Biometria!G77=0,"",Biometria!G77)</f>
        <v/>
      </c>
      <c r="H67" s="62" t="str">
        <f>IF(Biometria!H77=0,"",Biometria!H77)</f>
        <v/>
      </c>
      <c r="I67" s="62" t="str">
        <f>IF(Biometria!I77=0,"",Biometria!I77)</f>
        <v/>
      </c>
      <c r="J67" s="62" t="str">
        <f>IF(Biometria!J77=0,"",Biometria!J77)</f>
        <v/>
      </c>
      <c r="K67" s="62" t="str">
        <f>IF(Biometria!K77=0,"",Biometria!K77)</f>
        <v/>
      </c>
    </row>
    <row r="68" spans="1:11" x14ac:dyDescent="0.25">
      <c r="A68" s="62" t="str">
        <f>IF(LEN(B67)&gt;0,Biometria!A78,"")</f>
        <v/>
      </c>
      <c r="B68" s="62" t="str">
        <f>IF(LEN(Biometria!B78)=0,"",Biometria!B78)</f>
        <v/>
      </c>
      <c r="C68" s="62" t="str">
        <f>IF(Biometria!C78=0,"",Biometria!C78)</f>
        <v/>
      </c>
      <c r="D68" s="62" t="str">
        <f>IF(Biometria!D78=0,"",Biometria!D78)</f>
        <v/>
      </c>
      <c r="E68" s="62" t="str">
        <f>IF(Biometria!E78=0,"",Biometria!E78)</f>
        <v/>
      </c>
      <c r="F68" s="62" t="str">
        <f>IF(Biometria!F78=0,"",Biometria!F78)</f>
        <v/>
      </c>
      <c r="G68" s="62" t="str">
        <f>IF(Biometria!G78=0,"",Biometria!G78)</f>
        <v/>
      </c>
      <c r="H68" s="62" t="str">
        <f>IF(Biometria!H78=0,"",Biometria!H78)</f>
        <v/>
      </c>
      <c r="I68" s="62" t="str">
        <f>IF(Biometria!I78=0,"",Biometria!I78)</f>
        <v/>
      </c>
      <c r="J68" s="62" t="str">
        <f>IF(Biometria!J78=0,"",Biometria!J78)</f>
        <v/>
      </c>
      <c r="K68" s="62" t="str">
        <f>IF(Biometria!K78=0,"",Biometria!K78)</f>
        <v/>
      </c>
    </row>
    <row r="69" spans="1:11" x14ac:dyDescent="0.25">
      <c r="A69" s="62" t="str">
        <f>IF(LEN(B68)&gt;0,Biometria!A79,"")</f>
        <v/>
      </c>
      <c r="B69" s="62" t="str">
        <f>IF(LEN(Biometria!B79)=0,"",Biometria!B79)</f>
        <v/>
      </c>
      <c r="C69" s="62" t="str">
        <f>IF(Biometria!C79=0,"",Biometria!C79)</f>
        <v/>
      </c>
      <c r="D69" s="62" t="str">
        <f>IF(Biometria!D79=0,"",Biometria!D79)</f>
        <v/>
      </c>
      <c r="E69" s="62" t="str">
        <f>IF(Biometria!E79=0,"",Biometria!E79)</f>
        <v/>
      </c>
      <c r="F69" s="62" t="str">
        <f>IF(Biometria!F79=0,"",Biometria!F79)</f>
        <v/>
      </c>
      <c r="G69" s="62" t="str">
        <f>IF(Biometria!G79=0,"",Biometria!G79)</f>
        <v/>
      </c>
      <c r="H69" s="62" t="str">
        <f>IF(Biometria!H79=0,"",Biometria!H79)</f>
        <v/>
      </c>
      <c r="I69" s="62" t="str">
        <f>IF(Biometria!I79=0,"",Biometria!I79)</f>
        <v/>
      </c>
      <c r="J69" s="62" t="str">
        <f>IF(Biometria!J79=0,"",Biometria!J79)</f>
        <v/>
      </c>
      <c r="K69" s="62" t="str">
        <f>IF(Biometria!K79=0,"",Biometria!K79)</f>
        <v/>
      </c>
    </row>
    <row r="70" spans="1:11" x14ac:dyDescent="0.25">
      <c r="A70" s="62" t="str">
        <f>IF(LEN(B69)&gt;0,Biometria!A80,"")</f>
        <v/>
      </c>
      <c r="B70" s="62" t="str">
        <f>IF(LEN(Biometria!B80)=0,"",Biometria!B80)</f>
        <v/>
      </c>
      <c r="C70" s="62" t="str">
        <f>IF(Biometria!C80=0,"",Biometria!C80)</f>
        <v/>
      </c>
      <c r="D70" s="62" t="str">
        <f>IF(Biometria!D80=0,"",Biometria!D80)</f>
        <v/>
      </c>
      <c r="E70" s="62" t="str">
        <f>IF(Biometria!E80=0,"",Biometria!E80)</f>
        <v/>
      </c>
      <c r="F70" s="62" t="str">
        <f>IF(Biometria!F80=0,"",Biometria!F80)</f>
        <v/>
      </c>
      <c r="G70" s="62" t="str">
        <f>IF(Biometria!G80=0,"",Biometria!G80)</f>
        <v/>
      </c>
      <c r="H70" s="62" t="str">
        <f>IF(Biometria!H80=0,"",Biometria!H80)</f>
        <v/>
      </c>
      <c r="I70" s="62" t="str">
        <f>IF(Biometria!I80=0,"",Biometria!I80)</f>
        <v/>
      </c>
      <c r="J70" s="62" t="str">
        <f>IF(Biometria!J80=0,"",Biometria!J80)</f>
        <v/>
      </c>
      <c r="K70" s="62" t="str">
        <f>IF(Biometria!K80=0,"",Biometria!K80)</f>
        <v/>
      </c>
    </row>
    <row r="71" spans="1:11" x14ac:dyDescent="0.25">
      <c r="A71" s="62" t="str">
        <f>IF(LEN(B70)&gt;0,Biometria!A81,"")</f>
        <v/>
      </c>
      <c r="B71" s="62" t="str">
        <f>IF(LEN(Biometria!B81)=0,"",Biometria!B81)</f>
        <v/>
      </c>
      <c r="C71" s="62" t="str">
        <f>IF(Biometria!C81=0,"",Biometria!C81)</f>
        <v/>
      </c>
      <c r="D71" s="62" t="str">
        <f>IF(Biometria!D81=0,"",Biometria!D81)</f>
        <v/>
      </c>
      <c r="E71" s="62" t="str">
        <f>IF(Biometria!E81=0,"",Biometria!E81)</f>
        <v/>
      </c>
      <c r="F71" s="62" t="str">
        <f>IF(Biometria!F81=0,"",Biometria!F81)</f>
        <v/>
      </c>
      <c r="G71" s="62" t="str">
        <f>IF(Biometria!G81=0,"",Biometria!G81)</f>
        <v/>
      </c>
      <c r="H71" s="62" t="str">
        <f>IF(Biometria!H81=0,"",Biometria!H81)</f>
        <v/>
      </c>
      <c r="I71" s="62" t="str">
        <f>IF(Biometria!I81=0,"",Biometria!I81)</f>
        <v/>
      </c>
      <c r="J71" s="62" t="str">
        <f>IF(Biometria!J81=0,"",Biometria!J81)</f>
        <v/>
      </c>
      <c r="K71" s="62" t="str">
        <f>IF(Biometria!K81=0,"",Biometria!K81)</f>
        <v/>
      </c>
    </row>
    <row r="72" spans="1:11" x14ac:dyDescent="0.25">
      <c r="A72" s="62" t="str">
        <f>IF(LEN(B71)&gt;0,Biometria!A82,"")</f>
        <v/>
      </c>
      <c r="B72" s="62" t="str">
        <f>IF(LEN(Biometria!B82)=0,"",Biometria!B82)</f>
        <v/>
      </c>
      <c r="C72" s="62" t="str">
        <f>IF(Biometria!C82=0,"",Biometria!C82)</f>
        <v/>
      </c>
      <c r="D72" s="62" t="str">
        <f>IF(Biometria!D82=0,"",Biometria!D82)</f>
        <v/>
      </c>
      <c r="E72" s="62" t="str">
        <f>IF(Biometria!E82=0,"",Biometria!E82)</f>
        <v/>
      </c>
      <c r="F72" s="62" t="str">
        <f>IF(Biometria!F82=0,"",Biometria!F82)</f>
        <v/>
      </c>
      <c r="G72" s="62" t="str">
        <f>IF(Biometria!G82=0,"",Biometria!G82)</f>
        <v/>
      </c>
      <c r="H72" s="62" t="str">
        <f>IF(Biometria!H82=0,"",Biometria!H82)</f>
        <v/>
      </c>
      <c r="I72" s="62" t="str">
        <f>IF(Biometria!I82=0,"",Biometria!I82)</f>
        <v/>
      </c>
      <c r="J72" s="62" t="str">
        <f>IF(Biometria!J82=0,"",Biometria!J82)</f>
        <v/>
      </c>
      <c r="K72" s="62" t="str">
        <f>IF(Biometria!K82=0,"",Biometria!K82)</f>
        <v/>
      </c>
    </row>
    <row r="73" spans="1:11" x14ac:dyDescent="0.25">
      <c r="A73" s="62" t="str">
        <f>IF(LEN(B72)&gt;0,Biometria!A83,"")</f>
        <v/>
      </c>
      <c r="B73" s="62" t="str">
        <f>IF(LEN(Biometria!B83)=0,"",Biometria!B83)</f>
        <v/>
      </c>
      <c r="C73" s="62" t="str">
        <f>IF(Biometria!C83=0,"",Biometria!C83)</f>
        <v/>
      </c>
      <c r="D73" s="62" t="str">
        <f>IF(Biometria!D83=0,"",Biometria!D83)</f>
        <v/>
      </c>
      <c r="E73" s="62" t="str">
        <f>IF(Biometria!E83=0,"",Biometria!E83)</f>
        <v/>
      </c>
      <c r="F73" s="62" t="str">
        <f>IF(Biometria!F83=0,"",Biometria!F83)</f>
        <v/>
      </c>
      <c r="G73" s="62" t="str">
        <f>IF(Biometria!G83=0,"",Biometria!G83)</f>
        <v/>
      </c>
      <c r="H73" s="62" t="str">
        <f>IF(Biometria!H83=0,"",Biometria!H83)</f>
        <v/>
      </c>
      <c r="I73" s="62" t="str">
        <f>IF(Biometria!I83=0,"",Biometria!I83)</f>
        <v/>
      </c>
      <c r="J73" s="62" t="str">
        <f>IF(Biometria!J83=0,"",Biometria!J83)</f>
        <v/>
      </c>
      <c r="K73" s="62" t="str">
        <f>IF(Biometria!K83=0,"",Biometria!K83)</f>
        <v/>
      </c>
    </row>
    <row r="74" spans="1:11" x14ac:dyDescent="0.25">
      <c r="A74" s="62" t="str">
        <f>IF(LEN(B73)&gt;0,Biometria!A84,"")</f>
        <v/>
      </c>
      <c r="B74" s="62" t="str">
        <f>IF(LEN(Biometria!B84)=0,"",Biometria!B84)</f>
        <v/>
      </c>
      <c r="C74" s="62" t="str">
        <f>IF(Biometria!C84=0,"",Biometria!C84)</f>
        <v/>
      </c>
      <c r="D74" s="62" t="str">
        <f>IF(Biometria!D84=0,"",Biometria!D84)</f>
        <v/>
      </c>
      <c r="E74" s="62" t="str">
        <f>IF(Biometria!E84=0,"",Biometria!E84)</f>
        <v/>
      </c>
      <c r="F74" s="62" t="str">
        <f>IF(Biometria!F84=0,"",Biometria!F84)</f>
        <v/>
      </c>
      <c r="G74" s="62" t="str">
        <f>IF(Biometria!G84=0,"",Biometria!G84)</f>
        <v/>
      </c>
      <c r="H74" s="62" t="str">
        <f>IF(Biometria!H84=0,"",Biometria!H84)</f>
        <v/>
      </c>
      <c r="I74" s="62" t="str">
        <f>IF(Biometria!I84=0,"",Biometria!I84)</f>
        <v/>
      </c>
      <c r="J74" s="62" t="str">
        <f>IF(Biometria!J84=0,"",Biometria!J84)</f>
        <v/>
      </c>
      <c r="K74" s="62" t="str">
        <f>IF(Biometria!K84=0,"",Biometria!K84)</f>
        <v/>
      </c>
    </row>
    <row r="75" spans="1:11" x14ac:dyDescent="0.25">
      <c r="A75" s="62" t="str">
        <f>IF(LEN(B74)&gt;0,Biometria!A85,"")</f>
        <v/>
      </c>
      <c r="B75" s="62" t="str">
        <f>IF(LEN(Biometria!B85)=0,"",Biometria!B85)</f>
        <v/>
      </c>
      <c r="C75" s="62" t="str">
        <f>IF(Biometria!C85=0,"",Biometria!C85)</f>
        <v/>
      </c>
      <c r="D75" s="62" t="str">
        <f>IF(Biometria!D85=0,"",Biometria!D85)</f>
        <v/>
      </c>
      <c r="E75" s="62" t="str">
        <f>IF(Biometria!E85=0,"",Biometria!E85)</f>
        <v/>
      </c>
      <c r="F75" s="62" t="str">
        <f>IF(Biometria!F85=0,"",Biometria!F85)</f>
        <v/>
      </c>
      <c r="G75" s="62" t="str">
        <f>IF(Biometria!G85=0,"",Biometria!G85)</f>
        <v/>
      </c>
      <c r="H75" s="62" t="str">
        <f>IF(Biometria!H85=0,"",Biometria!H85)</f>
        <v/>
      </c>
      <c r="I75" s="62" t="str">
        <f>IF(Biometria!I85=0,"",Biometria!I85)</f>
        <v/>
      </c>
      <c r="J75" s="62" t="str">
        <f>IF(Biometria!J85=0,"",Biometria!J85)</f>
        <v/>
      </c>
      <c r="K75" s="62" t="str">
        <f>IF(Biometria!K85=0,"",Biometria!K85)</f>
        <v/>
      </c>
    </row>
    <row r="76" spans="1:11" x14ac:dyDescent="0.25">
      <c r="A76" s="62" t="str">
        <f>IF(LEN(B75)&gt;0,Biometria!A86,"")</f>
        <v/>
      </c>
      <c r="B76" s="62" t="str">
        <f>IF(LEN(Biometria!B86)=0,"",Biometria!B86)</f>
        <v/>
      </c>
      <c r="C76" s="62" t="str">
        <f>IF(Biometria!C86=0,"",Biometria!C86)</f>
        <v/>
      </c>
      <c r="D76" s="62" t="str">
        <f>IF(Biometria!D86=0,"",Biometria!D86)</f>
        <v/>
      </c>
      <c r="E76" s="62" t="str">
        <f>IF(Biometria!E86=0,"",Biometria!E86)</f>
        <v/>
      </c>
      <c r="F76" s="62" t="str">
        <f>IF(Biometria!F86=0,"",Biometria!F86)</f>
        <v/>
      </c>
      <c r="G76" s="62" t="str">
        <f>IF(Biometria!G86=0,"",Biometria!G86)</f>
        <v/>
      </c>
      <c r="H76" s="62" t="str">
        <f>IF(Biometria!H86=0,"",Biometria!H86)</f>
        <v/>
      </c>
      <c r="I76" s="62" t="str">
        <f>IF(Biometria!I86=0,"",Biometria!I86)</f>
        <v/>
      </c>
      <c r="J76" s="62" t="str">
        <f>IF(Biometria!J86=0,"",Biometria!J86)</f>
        <v/>
      </c>
      <c r="K76" s="62" t="str">
        <f>IF(Biometria!K86=0,"",Biometria!K86)</f>
        <v/>
      </c>
    </row>
    <row r="77" spans="1:11" x14ac:dyDescent="0.25">
      <c r="A77" s="62" t="str">
        <f>IF(LEN(B76)&gt;0,Biometria!A87,"")</f>
        <v/>
      </c>
      <c r="B77" s="62" t="str">
        <f>IF(LEN(Biometria!B87)=0,"",Biometria!B87)</f>
        <v/>
      </c>
      <c r="C77" s="62" t="str">
        <f>IF(Biometria!C87=0,"",Biometria!C87)</f>
        <v/>
      </c>
      <c r="D77" s="62" t="str">
        <f>IF(Biometria!D87=0,"",Biometria!D87)</f>
        <v/>
      </c>
      <c r="E77" s="62" t="str">
        <f>IF(Biometria!E87=0,"",Biometria!E87)</f>
        <v/>
      </c>
      <c r="F77" s="62" t="str">
        <f>IF(Biometria!F87=0,"",Biometria!F87)</f>
        <v/>
      </c>
      <c r="G77" s="62" t="str">
        <f>IF(Biometria!G87=0,"",Biometria!G87)</f>
        <v/>
      </c>
      <c r="H77" s="62" t="str">
        <f>IF(Biometria!H87=0,"",Biometria!H87)</f>
        <v/>
      </c>
      <c r="I77" s="62" t="str">
        <f>IF(Biometria!I87=0,"",Biometria!I87)</f>
        <v/>
      </c>
      <c r="J77" s="62" t="str">
        <f>IF(Biometria!J87=0,"",Biometria!J87)</f>
        <v/>
      </c>
      <c r="K77" s="62" t="str">
        <f>IF(Biometria!K87=0,"",Biometria!K87)</f>
        <v/>
      </c>
    </row>
    <row r="78" spans="1:11" x14ac:dyDescent="0.25">
      <c r="A78" s="62" t="str">
        <f>IF(LEN(B77)&gt;0,Biometria!A88,"")</f>
        <v/>
      </c>
      <c r="B78" s="62" t="str">
        <f>IF(LEN(Biometria!B88)=0,"",Biometria!B88)</f>
        <v/>
      </c>
      <c r="C78" s="62" t="str">
        <f>IF(Biometria!C88=0,"",Biometria!C88)</f>
        <v/>
      </c>
      <c r="D78" s="62" t="str">
        <f>IF(Biometria!D88=0,"",Biometria!D88)</f>
        <v/>
      </c>
      <c r="E78" s="62" t="str">
        <f>IF(Biometria!E88=0,"",Biometria!E88)</f>
        <v/>
      </c>
      <c r="F78" s="62" t="str">
        <f>IF(Biometria!F88=0,"",Biometria!F88)</f>
        <v/>
      </c>
      <c r="G78" s="62" t="str">
        <f>IF(Biometria!G88=0,"",Biometria!G88)</f>
        <v/>
      </c>
      <c r="H78" s="62" t="str">
        <f>IF(Biometria!H88=0,"",Biometria!H88)</f>
        <v/>
      </c>
      <c r="I78" s="62" t="str">
        <f>IF(Biometria!I88=0,"",Biometria!I88)</f>
        <v/>
      </c>
      <c r="J78" s="62" t="str">
        <f>IF(Biometria!J88=0,"",Biometria!J88)</f>
        <v/>
      </c>
      <c r="K78" s="62" t="str">
        <f>IF(Biometria!K88=0,"",Biometria!K88)</f>
        <v/>
      </c>
    </row>
    <row r="79" spans="1:11" x14ac:dyDescent="0.25">
      <c r="A79" s="62" t="str">
        <f>IF(LEN(B78)&gt;0,Biometria!A89,"")</f>
        <v/>
      </c>
      <c r="B79" s="62" t="str">
        <f>IF(LEN(Biometria!B89)=0,"",Biometria!B89)</f>
        <v/>
      </c>
      <c r="C79" s="62" t="str">
        <f>IF(Biometria!C89=0,"",Biometria!C89)</f>
        <v/>
      </c>
      <c r="D79" s="62" t="str">
        <f>IF(Biometria!D89=0,"",Biometria!D89)</f>
        <v/>
      </c>
      <c r="E79" s="62" t="str">
        <f>IF(Biometria!E89=0,"",Biometria!E89)</f>
        <v/>
      </c>
      <c r="F79" s="62" t="str">
        <f>IF(Biometria!F89=0,"",Biometria!F89)</f>
        <v/>
      </c>
      <c r="G79" s="62" t="str">
        <f>IF(Biometria!G89=0,"",Biometria!G89)</f>
        <v/>
      </c>
      <c r="H79" s="62" t="str">
        <f>IF(Biometria!H89=0,"",Biometria!H89)</f>
        <v/>
      </c>
      <c r="I79" s="62" t="str">
        <f>IF(Biometria!I89=0,"",Biometria!I89)</f>
        <v/>
      </c>
      <c r="J79" s="62" t="str">
        <f>IF(Biometria!J89=0,"",Biometria!J89)</f>
        <v/>
      </c>
      <c r="K79" s="62" t="str">
        <f>IF(Biometria!K89=0,"",Biometria!K89)</f>
        <v/>
      </c>
    </row>
    <row r="80" spans="1:11" x14ac:dyDescent="0.25">
      <c r="A80" s="62" t="str">
        <f>IF(LEN(B79)&gt;0,Biometria!A90,"")</f>
        <v/>
      </c>
      <c r="B80" s="62" t="str">
        <f>IF(LEN(Biometria!B90)=0,"",Biometria!B90)</f>
        <v/>
      </c>
      <c r="C80" s="62" t="str">
        <f>IF(Biometria!C90=0,"",Biometria!C90)</f>
        <v/>
      </c>
      <c r="D80" s="62" t="str">
        <f>IF(Biometria!D90=0,"",Biometria!D90)</f>
        <v/>
      </c>
      <c r="E80" s="62" t="str">
        <f>IF(Biometria!E90=0,"",Biometria!E90)</f>
        <v/>
      </c>
      <c r="F80" s="62" t="str">
        <f>IF(Biometria!F90=0,"",Biometria!F90)</f>
        <v/>
      </c>
      <c r="G80" s="62" t="str">
        <f>IF(Biometria!G90=0,"",Biometria!G90)</f>
        <v/>
      </c>
      <c r="H80" s="62" t="str">
        <f>IF(Biometria!H90=0,"",Biometria!H90)</f>
        <v/>
      </c>
      <c r="I80" s="62" t="str">
        <f>IF(Biometria!I90=0,"",Biometria!I90)</f>
        <v/>
      </c>
      <c r="J80" s="62" t="str">
        <f>IF(Biometria!J90=0,"",Biometria!J90)</f>
        <v/>
      </c>
      <c r="K80" s="62" t="str">
        <f>IF(Biometria!K90=0,"",Biometria!K90)</f>
        <v/>
      </c>
    </row>
    <row r="81" spans="1:11" x14ac:dyDescent="0.25">
      <c r="A81" s="62" t="str">
        <f>IF(LEN(B80)&gt;0,Biometria!A91,"")</f>
        <v/>
      </c>
      <c r="B81" s="62" t="str">
        <f>IF(LEN(Biometria!B91)=0,"",Biometria!B91)</f>
        <v/>
      </c>
      <c r="C81" s="62" t="str">
        <f>IF(Biometria!C91=0,"",Biometria!C91)</f>
        <v/>
      </c>
      <c r="D81" s="62" t="str">
        <f>IF(Biometria!D91=0,"",Biometria!D91)</f>
        <v/>
      </c>
      <c r="E81" s="62" t="str">
        <f>IF(Biometria!E91=0,"",Biometria!E91)</f>
        <v/>
      </c>
      <c r="F81" s="62" t="str">
        <f>IF(Biometria!F91=0,"",Biometria!F91)</f>
        <v/>
      </c>
      <c r="G81" s="62" t="str">
        <f>IF(Biometria!G91=0,"",Biometria!G91)</f>
        <v/>
      </c>
      <c r="H81" s="62" t="str">
        <f>IF(Biometria!H91=0,"",Biometria!H91)</f>
        <v/>
      </c>
      <c r="I81" s="62" t="str">
        <f>IF(Biometria!I91=0,"",Biometria!I91)</f>
        <v/>
      </c>
      <c r="J81" s="62" t="str">
        <f>IF(Biometria!J91=0,"",Biometria!J91)</f>
        <v/>
      </c>
      <c r="K81" s="62" t="str">
        <f>IF(Biometria!K91=0,"",Biometria!K91)</f>
        <v/>
      </c>
    </row>
    <row r="82" spans="1:11" x14ac:dyDescent="0.25">
      <c r="A82" s="62" t="str">
        <f>IF(LEN(B81)&gt;0,Biometria!A92,"")</f>
        <v/>
      </c>
      <c r="B82" s="62" t="str">
        <f>IF(LEN(Biometria!B92)=0,"",Biometria!B92)</f>
        <v/>
      </c>
      <c r="C82" s="62" t="str">
        <f>IF(Biometria!C92=0,"",Biometria!C92)</f>
        <v/>
      </c>
      <c r="D82" s="62" t="str">
        <f>IF(Biometria!D92=0,"",Biometria!D92)</f>
        <v/>
      </c>
      <c r="E82" s="62" t="str">
        <f>IF(Biometria!E92=0,"",Biometria!E92)</f>
        <v/>
      </c>
      <c r="F82" s="62" t="str">
        <f>IF(Biometria!F92=0,"",Biometria!F92)</f>
        <v/>
      </c>
      <c r="G82" s="62" t="str">
        <f>IF(Biometria!G92=0,"",Biometria!G92)</f>
        <v/>
      </c>
      <c r="H82" s="62" t="str">
        <f>IF(Biometria!H92=0,"",Biometria!H92)</f>
        <v/>
      </c>
      <c r="I82" s="62" t="str">
        <f>IF(Biometria!I92=0,"",Biometria!I92)</f>
        <v/>
      </c>
      <c r="J82" s="62" t="str">
        <f>IF(Biometria!J92=0,"",Biometria!J92)</f>
        <v/>
      </c>
      <c r="K82" s="62" t="str">
        <f>IF(Biometria!K92=0,"",Biometria!K92)</f>
        <v/>
      </c>
    </row>
    <row r="83" spans="1:11" x14ac:dyDescent="0.25">
      <c r="A83" s="62" t="str">
        <f>IF(LEN(B82)&gt;0,Biometria!A93,"")</f>
        <v/>
      </c>
      <c r="B83" s="62" t="str">
        <f>IF(LEN(Biometria!B93)=0,"",Biometria!B93)</f>
        <v/>
      </c>
      <c r="C83" s="62" t="str">
        <f>IF(Biometria!C93=0,"",Biometria!C93)</f>
        <v/>
      </c>
      <c r="D83" s="62" t="str">
        <f>IF(Biometria!D93=0,"",Biometria!D93)</f>
        <v/>
      </c>
      <c r="E83" s="62" t="str">
        <f>IF(Biometria!E93=0,"",Biometria!E93)</f>
        <v/>
      </c>
      <c r="F83" s="62" t="str">
        <f>IF(Biometria!F93=0,"",Biometria!F93)</f>
        <v/>
      </c>
      <c r="G83" s="62" t="str">
        <f>IF(Biometria!G93=0,"",Biometria!G93)</f>
        <v/>
      </c>
      <c r="H83" s="62" t="str">
        <f>IF(Biometria!H93=0,"",Biometria!H93)</f>
        <v/>
      </c>
      <c r="I83" s="62" t="str">
        <f>IF(Biometria!I93=0,"",Biometria!I93)</f>
        <v/>
      </c>
      <c r="J83" s="62" t="str">
        <f>IF(Biometria!J93=0,"",Biometria!J93)</f>
        <v/>
      </c>
      <c r="K83" s="62" t="str">
        <f>IF(Biometria!K93=0,"",Biometria!K93)</f>
        <v/>
      </c>
    </row>
    <row r="84" spans="1:11" x14ac:dyDescent="0.25">
      <c r="A84" s="62" t="str">
        <f>IF(LEN(B83)&gt;0,Biometria!A94,"")</f>
        <v/>
      </c>
      <c r="B84" s="62" t="str">
        <f>IF(LEN(Biometria!B94)=0,"",Biometria!B94)</f>
        <v/>
      </c>
      <c r="C84" s="62" t="str">
        <f>IF(Biometria!C94=0,"",Biometria!C94)</f>
        <v/>
      </c>
      <c r="D84" s="62" t="str">
        <f>IF(Biometria!D94=0,"",Biometria!D94)</f>
        <v/>
      </c>
      <c r="E84" s="62" t="str">
        <f>IF(Biometria!E94=0,"",Biometria!E94)</f>
        <v/>
      </c>
      <c r="F84" s="62" t="str">
        <f>IF(Biometria!F94=0,"",Biometria!F94)</f>
        <v/>
      </c>
      <c r="G84" s="62" t="str">
        <f>IF(Biometria!G94=0,"",Biometria!G94)</f>
        <v/>
      </c>
      <c r="H84" s="62" t="str">
        <f>IF(Biometria!H94=0,"",Biometria!H94)</f>
        <v/>
      </c>
      <c r="I84" s="62" t="str">
        <f>IF(Biometria!I94=0,"",Biometria!I94)</f>
        <v/>
      </c>
      <c r="J84" s="62" t="str">
        <f>IF(Biometria!J94=0,"",Biometria!J94)</f>
        <v/>
      </c>
      <c r="K84" s="62" t="str">
        <f>IF(Biometria!K94=0,"",Biometria!K94)</f>
        <v/>
      </c>
    </row>
    <row r="85" spans="1:11" x14ac:dyDescent="0.25">
      <c r="A85" s="62" t="str">
        <f>IF(LEN(B84)&gt;0,Biometria!A95,"")</f>
        <v/>
      </c>
      <c r="B85" s="62" t="str">
        <f>IF(LEN(Biometria!B95)=0,"",Biometria!B95)</f>
        <v/>
      </c>
      <c r="C85" s="62" t="str">
        <f>IF(Biometria!C95=0,"",Biometria!C95)</f>
        <v/>
      </c>
      <c r="D85" s="62" t="str">
        <f>IF(Biometria!D95=0,"",Biometria!D95)</f>
        <v/>
      </c>
      <c r="E85" s="62" t="str">
        <f>IF(Biometria!E95=0,"",Biometria!E95)</f>
        <v/>
      </c>
      <c r="F85" s="62" t="str">
        <f>IF(Biometria!F95=0,"",Biometria!F95)</f>
        <v/>
      </c>
      <c r="G85" s="62" t="str">
        <f>IF(Biometria!G95=0,"",Biometria!G95)</f>
        <v/>
      </c>
      <c r="H85" s="62" t="str">
        <f>IF(Biometria!H95=0,"",Biometria!H95)</f>
        <v/>
      </c>
      <c r="I85" s="62" t="str">
        <f>IF(Biometria!I95=0,"",Biometria!I95)</f>
        <v/>
      </c>
      <c r="J85" s="62" t="str">
        <f>IF(Biometria!J95=0,"",Biometria!J95)</f>
        <v/>
      </c>
      <c r="K85" s="62" t="str">
        <f>IF(Biometria!K95=0,"",Biometria!K95)</f>
        <v/>
      </c>
    </row>
    <row r="86" spans="1:11" x14ac:dyDescent="0.25">
      <c r="A86" s="62" t="str">
        <f>IF(LEN(B85)&gt;0,Biometria!A96,"")</f>
        <v/>
      </c>
      <c r="B86" s="62" t="str">
        <f>IF(LEN(Biometria!B96)=0,"",Biometria!B96)</f>
        <v/>
      </c>
      <c r="C86" s="62" t="str">
        <f>IF(Biometria!C96=0,"",Biometria!C96)</f>
        <v/>
      </c>
      <c r="D86" s="62" t="str">
        <f>IF(Biometria!D96=0,"",Biometria!D96)</f>
        <v/>
      </c>
      <c r="E86" s="62" t="str">
        <f>IF(Biometria!E96=0,"",Biometria!E96)</f>
        <v/>
      </c>
      <c r="F86" s="62" t="str">
        <f>IF(Biometria!F96=0,"",Biometria!F96)</f>
        <v/>
      </c>
      <c r="G86" s="62" t="str">
        <f>IF(Biometria!G96=0,"",Biometria!G96)</f>
        <v/>
      </c>
      <c r="H86" s="62" t="str">
        <f>IF(Biometria!H96=0,"",Biometria!H96)</f>
        <v/>
      </c>
      <c r="I86" s="62" t="str">
        <f>IF(Biometria!I96=0,"",Biometria!I96)</f>
        <v/>
      </c>
      <c r="J86" s="62" t="str">
        <f>IF(Biometria!J96=0,"",Biometria!J96)</f>
        <v/>
      </c>
      <c r="K86" s="62" t="str">
        <f>IF(Biometria!K96=0,"",Biometria!K96)</f>
        <v/>
      </c>
    </row>
    <row r="87" spans="1:11" x14ac:dyDescent="0.25">
      <c r="A87" s="62" t="str">
        <f>IF(LEN(B86)&gt;0,Biometria!A97,"")</f>
        <v/>
      </c>
      <c r="B87" s="62" t="str">
        <f>IF(LEN(Biometria!B97)=0,"",Biometria!B97)</f>
        <v/>
      </c>
      <c r="C87" s="62" t="str">
        <f>IF(Biometria!C97=0,"",Biometria!C97)</f>
        <v/>
      </c>
      <c r="D87" s="62" t="str">
        <f>IF(Biometria!D97=0,"",Biometria!D97)</f>
        <v/>
      </c>
      <c r="E87" s="62" t="str">
        <f>IF(Biometria!E97=0,"",Biometria!E97)</f>
        <v/>
      </c>
      <c r="F87" s="62" t="str">
        <f>IF(Biometria!F97=0,"",Biometria!F97)</f>
        <v/>
      </c>
      <c r="G87" s="62" t="str">
        <f>IF(Biometria!G97=0,"",Biometria!G97)</f>
        <v/>
      </c>
      <c r="H87" s="62" t="str">
        <f>IF(Biometria!H97=0,"",Biometria!H97)</f>
        <v/>
      </c>
      <c r="I87" s="62" t="str">
        <f>IF(Biometria!I97=0,"",Biometria!I97)</f>
        <v/>
      </c>
      <c r="J87" s="62" t="str">
        <f>IF(Biometria!J97=0,"",Biometria!J97)</f>
        <v/>
      </c>
      <c r="K87" s="62" t="str">
        <f>IF(Biometria!K97=0,"",Biometria!K97)</f>
        <v/>
      </c>
    </row>
    <row r="88" spans="1:11" x14ac:dyDescent="0.25">
      <c r="A88" s="62" t="str">
        <f>IF(LEN(B87)&gt;0,Biometria!A98,"")</f>
        <v/>
      </c>
      <c r="B88" s="62" t="str">
        <f>IF(LEN(Biometria!B98)=0,"",Biometria!B98)</f>
        <v/>
      </c>
      <c r="C88" s="62" t="str">
        <f>IF(Biometria!C98=0,"",Biometria!C98)</f>
        <v/>
      </c>
      <c r="D88" s="62" t="str">
        <f>IF(Biometria!D98=0,"",Biometria!D98)</f>
        <v/>
      </c>
      <c r="E88" s="62" t="str">
        <f>IF(Biometria!E98=0,"",Biometria!E98)</f>
        <v/>
      </c>
      <c r="F88" s="62" t="str">
        <f>IF(Biometria!F98=0,"",Biometria!F98)</f>
        <v/>
      </c>
      <c r="G88" s="62" t="str">
        <f>IF(Biometria!G98=0,"",Biometria!G98)</f>
        <v/>
      </c>
      <c r="H88" s="62" t="str">
        <f>IF(Biometria!H98=0,"",Biometria!H98)</f>
        <v/>
      </c>
      <c r="I88" s="62" t="str">
        <f>IF(Biometria!I98=0,"",Biometria!I98)</f>
        <v/>
      </c>
      <c r="J88" s="62" t="str">
        <f>IF(Biometria!J98=0,"",Biometria!J98)</f>
        <v/>
      </c>
      <c r="K88" s="62" t="str">
        <f>IF(Biometria!K98=0,"",Biometria!K98)</f>
        <v/>
      </c>
    </row>
    <row r="89" spans="1:11" x14ac:dyDescent="0.25">
      <c r="A89" s="62" t="str">
        <f>IF(LEN(B88)&gt;0,Biometria!A99,"")</f>
        <v/>
      </c>
      <c r="B89" s="62" t="str">
        <f>IF(LEN(Biometria!B99)=0,"",Biometria!B99)</f>
        <v/>
      </c>
      <c r="C89" s="62" t="str">
        <f>IF(Biometria!C99=0,"",Biometria!C99)</f>
        <v/>
      </c>
      <c r="D89" s="62" t="str">
        <f>IF(Biometria!D99=0,"",Biometria!D99)</f>
        <v/>
      </c>
      <c r="E89" s="62" t="str">
        <f>IF(Biometria!E99=0,"",Biometria!E99)</f>
        <v/>
      </c>
      <c r="F89" s="62" t="str">
        <f>IF(Biometria!F99=0,"",Biometria!F99)</f>
        <v/>
      </c>
      <c r="G89" s="62" t="str">
        <f>IF(Biometria!G99=0,"",Biometria!G99)</f>
        <v/>
      </c>
      <c r="H89" s="62" t="str">
        <f>IF(Biometria!H99=0,"",Biometria!H99)</f>
        <v/>
      </c>
      <c r="I89" s="62" t="str">
        <f>IF(Biometria!I99=0,"",Biometria!I99)</f>
        <v/>
      </c>
      <c r="J89" s="62" t="str">
        <f>IF(Biometria!J99=0,"",Biometria!J99)</f>
        <v/>
      </c>
      <c r="K89" s="62" t="str">
        <f>IF(Biometria!K99=0,"",Biometria!K99)</f>
        <v/>
      </c>
    </row>
    <row r="90" spans="1:11" x14ac:dyDescent="0.25">
      <c r="A90" s="62" t="str">
        <f>IF(LEN(B89)&gt;0,Biometria!A100,"")</f>
        <v/>
      </c>
      <c r="B90" s="62" t="str">
        <f>IF(LEN(Biometria!B100)=0,"",Biometria!B100)</f>
        <v/>
      </c>
      <c r="C90" s="62" t="str">
        <f>IF(Biometria!C100=0,"",Biometria!C100)</f>
        <v/>
      </c>
      <c r="D90" s="62" t="str">
        <f>IF(Biometria!D100=0,"",Biometria!D100)</f>
        <v/>
      </c>
      <c r="E90" s="62" t="str">
        <f>IF(Biometria!E100=0,"",Biometria!E100)</f>
        <v/>
      </c>
      <c r="F90" s="62" t="str">
        <f>IF(Biometria!F100=0,"",Biometria!F100)</f>
        <v/>
      </c>
      <c r="G90" s="62" t="str">
        <f>IF(Biometria!G100=0,"",Biometria!G100)</f>
        <v/>
      </c>
      <c r="H90" s="62" t="str">
        <f>IF(Biometria!H100=0,"",Biometria!H100)</f>
        <v/>
      </c>
      <c r="I90" s="62" t="str">
        <f>IF(Biometria!I100=0,"",Biometria!I100)</f>
        <v/>
      </c>
      <c r="J90" s="62" t="str">
        <f>IF(Biometria!J100=0,"",Biometria!J100)</f>
        <v/>
      </c>
      <c r="K90" s="62" t="str">
        <f>IF(Biometria!K100=0,"",Biometria!K100)</f>
        <v/>
      </c>
    </row>
    <row r="91" spans="1:11" x14ac:dyDescent="0.25">
      <c r="A91" s="62" t="str">
        <f>IF(LEN(B90)&gt;0,Biometria!A101,"")</f>
        <v/>
      </c>
      <c r="B91" s="62" t="str">
        <f>IF(LEN(Biometria!B101)=0,"",Biometria!B101)</f>
        <v/>
      </c>
      <c r="C91" s="62" t="str">
        <f>IF(Biometria!C101=0,"",Biometria!C101)</f>
        <v/>
      </c>
      <c r="D91" s="62" t="str">
        <f>IF(Biometria!D101=0,"",Biometria!D101)</f>
        <v/>
      </c>
      <c r="E91" s="62" t="str">
        <f>IF(Biometria!E101=0,"",Biometria!E101)</f>
        <v/>
      </c>
      <c r="F91" s="62" t="str">
        <f>IF(Biometria!F101=0,"",Biometria!F101)</f>
        <v/>
      </c>
      <c r="G91" s="62" t="str">
        <f>IF(Biometria!G101=0,"",Biometria!G101)</f>
        <v/>
      </c>
      <c r="H91" s="62" t="str">
        <f>IF(Biometria!H101=0,"",Biometria!H101)</f>
        <v/>
      </c>
      <c r="I91" s="62" t="str">
        <f>IF(Biometria!I101=0,"",Biometria!I101)</f>
        <v/>
      </c>
      <c r="J91" s="62" t="str">
        <f>IF(Biometria!J101=0,"",Biometria!J101)</f>
        <v/>
      </c>
      <c r="K91" s="62" t="str">
        <f>IF(Biometria!K101=0,"",Biometria!K101)</f>
        <v/>
      </c>
    </row>
    <row r="92" spans="1:11" x14ac:dyDescent="0.25">
      <c r="A92" s="62" t="str">
        <f>IF(LEN(B91)&gt;0,Biometria!A102,"")</f>
        <v/>
      </c>
      <c r="B92" s="62" t="str">
        <f>IF(LEN(Biometria!B102)=0,"",Biometria!B102)</f>
        <v/>
      </c>
      <c r="C92" s="62" t="str">
        <f>IF(Biometria!C102=0,"",Biometria!C102)</f>
        <v/>
      </c>
      <c r="D92" s="62" t="str">
        <f>IF(Biometria!D102=0,"",Biometria!D102)</f>
        <v/>
      </c>
      <c r="E92" s="62" t="str">
        <f>IF(Biometria!E102=0,"",Biometria!E102)</f>
        <v/>
      </c>
      <c r="F92" s="62" t="str">
        <f>IF(Biometria!F102=0,"",Biometria!F102)</f>
        <v/>
      </c>
      <c r="G92" s="62" t="str">
        <f>IF(Biometria!G102=0,"",Biometria!G102)</f>
        <v/>
      </c>
      <c r="H92" s="62" t="str">
        <f>IF(Biometria!H102=0,"",Biometria!H102)</f>
        <v/>
      </c>
      <c r="I92" s="62" t="str">
        <f>IF(Biometria!I102=0,"",Biometria!I102)</f>
        <v/>
      </c>
      <c r="J92" s="62" t="str">
        <f>IF(Biometria!J102=0,"",Biometria!J102)</f>
        <v/>
      </c>
      <c r="K92" s="62" t="str">
        <f>IF(Biometria!K102=0,"",Biometria!K102)</f>
        <v/>
      </c>
    </row>
    <row r="93" spans="1:11" x14ac:dyDescent="0.25">
      <c r="A93" s="62" t="str">
        <f>IF(LEN(B92)&gt;0,Biometria!A103,"")</f>
        <v/>
      </c>
      <c r="B93" s="62" t="str">
        <f>IF(LEN(Biometria!B103)=0,"",Biometria!B103)</f>
        <v/>
      </c>
      <c r="C93" s="62" t="str">
        <f>IF(Biometria!C103=0,"",Biometria!C103)</f>
        <v/>
      </c>
      <c r="D93" s="62" t="str">
        <f>IF(Biometria!D103=0,"",Biometria!D103)</f>
        <v/>
      </c>
      <c r="E93" s="62" t="str">
        <f>IF(Biometria!E103=0,"",Biometria!E103)</f>
        <v/>
      </c>
      <c r="F93" s="62" t="str">
        <f>IF(Biometria!F103=0,"",Biometria!F103)</f>
        <v/>
      </c>
      <c r="G93" s="62" t="str">
        <f>IF(Biometria!G103=0,"",Biometria!G103)</f>
        <v/>
      </c>
      <c r="H93" s="62" t="str">
        <f>IF(Biometria!H103=0,"",Biometria!H103)</f>
        <v/>
      </c>
      <c r="I93" s="62" t="str">
        <f>IF(Biometria!I103=0,"",Biometria!I103)</f>
        <v/>
      </c>
      <c r="J93" s="62" t="str">
        <f>IF(Biometria!J103=0,"",Biometria!J103)</f>
        <v/>
      </c>
      <c r="K93" s="62" t="str">
        <f>IF(Biometria!K103=0,"",Biometria!K103)</f>
        <v/>
      </c>
    </row>
    <row r="94" spans="1:11" x14ac:dyDescent="0.25">
      <c r="A94" s="62" t="str">
        <f>IF(LEN(B93)&gt;0,Biometria!A104,"")</f>
        <v/>
      </c>
      <c r="B94" s="62" t="str">
        <f>IF(LEN(Biometria!B104)=0,"",Biometria!B104)</f>
        <v/>
      </c>
      <c r="C94" s="62" t="str">
        <f>IF(Biometria!C104=0,"",Biometria!C104)</f>
        <v/>
      </c>
      <c r="D94" s="62" t="str">
        <f>IF(Biometria!D104=0,"",Biometria!D104)</f>
        <v/>
      </c>
      <c r="E94" s="62" t="str">
        <f>IF(Biometria!E104=0,"",Biometria!E104)</f>
        <v/>
      </c>
      <c r="F94" s="62" t="str">
        <f>IF(Biometria!F104=0,"",Biometria!F104)</f>
        <v/>
      </c>
      <c r="G94" s="62" t="str">
        <f>IF(Biometria!G104=0,"",Biometria!G104)</f>
        <v/>
      </c>
      <c r="H94" s="62" t="str">
        <f>IF(Biometria!H104=0,"",Biometria!H104)</f>
        <v/>
      </c>
      <c r="I94" s="62" t="str">
        <f>IF(Biometria!I104=0,"",Biometria!I104)</f>
        <v/>
      </c>
      <c r="J94" s="62" t="str">
        <f>IF(Biometria!J104=0,"",Biometria!J104)</f>
        <v/>
      </c>
      <c r="K94" s="62" t="str">
        <f>IF(Biometria!K104=0,"",Biometria!K104)</f>
        <v/>
      </c>
    </row>
    <row r="95" spans="1:11" x14ac:dyDescent="0.25">
      <c r="A95" s="62" t="str">
        <f>IF(LEN(B94)&gt;0,Biometria!A105,"")</f>
        <v/>
      </c>
      <c r="B95" s="62" t="str">
        <f>IF(LEN(Biometria!B105)=0,"",Biometria!B105)</f>
        <v/>
      </c>
      <c r="C95" s="62" t="str">
        <f>IF(Biometria!C105=0,"",Biometria!C105)</f>
        <v/>
      </c>
      <c r="D95" s="62" t="str">
        <f>IF(Biometria!D105=0,"",Biometria!D105)</f>
        <v/>
      </c>
      <c r="E95" s="62" t="str">
        <f>IF(Biometria!E105=0,"",Biometria!E105)</f>
        <v/>
      </c>
      <c r="F95" s="62" t="str">
        <f>IF(Biometria!F105=0,"",Biometria!F105)</f>
        <v/>
      </c>
      <c r="G95" s="62" t="str">
        <f>IF(Biometria!G105=0,"",Biometria!G105)</f>
        <v/>
      </c>
      <c r="H95" s="62" t="str">
        <f>IF(Biometria!H105=0,"",Biometria!H105)</f>
        <v/>
      </c>
      <c r="I95" s="62" t="str">
        <f>IF(Biometria!I105=0,"",Biometria!I105)</f>
        <v/>
      </c>
      <c r="J95" s="62" t="str">
        <f>IF(Biometria!J105=0,"",Biometria!J105)</f>
        <v/>
      </c>
      <c r="K95" s="62" t="str">
        <f>IF(Biometria!K105=0,"",Biometria!K105)</f>
        <v/>
      </c>
    </row>
    <row r="96" spans="1:11" x14ac:dyDescent="0.25">
      <c r="A96" s="62" t="str">
        <f>IF(LEN(B95)&gt;0,Biometria!A106,"")</f>
        <v/>
      </c>
      <c r="B96" s="62" t="str">
        <f>IF(LEN(Biometria!B106)=0,"",Biometria!B106)</f>
        <v/>
      </c>
      <c r="C96" s="62" t="str">
        <f>IF(Biometria!C106=0,"",Biometria!C106)</f>
        <v/>
      </c>
      <c r="D96" s="62" t="str">
        <f>IF(Biometria!D106=0,"",Biometria!D106)</f>
        <v/>
      </c>
      <c r="E96" s="62" t="str">
        <f>IF(Biometria!E106=0,"",Biometria!E106)</f>
        <v/>
      </c>
      <c r="F96" s="62" t="str">
        <f>IF(Biometria!F106=0,"",Biometria!F106)</f>
        <v/>
      </c>
      <c r="G96" s="62" t="str">
        <f>IF(Biometria!G106=0,"",Biometria!G106)</f>
        <v/>
      </c>
      <c r="H96" s="62" t="str">
        <f>IF(Biometria!H106=0,"",Biometria!H106)</f>
        <v/>
      </c>
      <c r="I96" s="62" t="str">
        <f>IF(Biometria!I106=0,"",Biometria!I106)</f>
        <v/>
      </c>
      <c r="J96" s="62" t="str">
        <f>IF(Biometria!J106=0,"",Biometria!J106)</f>
        <v/>
      </c>
      <c r="K96" s="62" t="str">
        <f>IF(Biometria!K106=0,"",Biometria!K106)</f>
        <v/>
      </c>
    </row>
    <row r="97" spans="1:11" x14ac:dyDescent="0.25">
      <c r="A97" s="62" t="str">
        <f>IF(LEN(B96)&gt;0,Biometria!A107,"")</f>
        <v/>
      </c>
      <c r="B97" s="62" t="str">
        <f>IF(LEN(Biometria!B107)=0,"",Biometria!B107)</f>
        <v/>
      </c>
      <c r="C97" s="62" t="str">
        <f>IF(Biometria!C107=0,"",Biometria!C107)</f>
        <v/>
      </c>
      <c r="D97" s="62" t="str">
        <f>IF(Biometria!D107=0,"",Biometria!D107)</f>
        <v/>
      </c>
      <c r="E97" s="62" t="str">
        <f>IF(Biometria!E107=0,"",Biometria!E107)</f>
        <v/>
      </c>
      <c r="F97" s="62" t="str">
        <f>IF(Biometria!F107=0,"",Biometria!F107)</f>
        <v/>
      </c>
      <c r="G97" s="62" t="str">
        <f>IF(Biometria!G107=0,"",Biometria!G107)</f>
        <v/>
      </c>
      <c r="H97" s="62" t="str">
        <f>IF(Biometria!H107=0,"",Biometria!H107)</f>
        <v/>
      </c>
      <c r="I97" s="62" t="str">
        <f>IF(Biometria!I107=0,"",Biometria!I107)</f>
        <v/>
      </c>
      <c r="J97" s="62" t="str">
        <f>IF(Biometria!J107=0,"",Biometria!J107)</f>
        <v/>
      </c>
      <c r="K97" s="62" t="str">
        <f>IF(Biometria!K107=0,"",Biometria!K107)</f>
        <v/>
      </c>
    </row>
    <row r="98" spans="1:11" x14ac:dyDescent="0.25">
      <c r="A98" s="62" t="str">
        <f>IF(LEN(B97)&gt;0,Biometria!A108,"")</f>
        <v/>
      </c>
      <c r="B98" s="62" t="str">
        <f>IF(LEN(Biometria!B108)=0,"",Biometria!B108)</f>
        <v/>
      </c>
      <c r="C98" s="62" t="str">
        <f>IF(Biometria!C108=0,"",Biometria!C108)</f>
        <v/>
      </c>
      <c r="D98" s="62" t="str">
        <f>IF(Biometria!D108=0,"",Biometria!D108)</f>
        <v/>
      </c>
      <c r="E98" s="62" t="str">
        <f>IF(Biometria!E108=0,"",Biometria!E108)</f>
        <v/>
      </c>
      <c r="F98" s="62" t="str">
        <f>IF(Biometria!F108=0,"",Biometria!F108)</f>
        <v/>
      </c>
      <c r="G98" s="62" t="str">
        <f>IF(Biometria!G108=0,"",Biometria!G108)</f>
        <v/>
      </c>
      <c r="H98" s="62" t="str">
        <f>IF(Biometria!H108=0,"",Biometria!H108)</f>
        <v/>
      </c>
      <c r="I98" s="62" t="str">
        <f>IF(Biometria!I108=0,"",Biometria!I108)</f>
        <v/>
      </c>
      <c r="J98" s="62" t="str">
        <f>IF(Biometria!J108=0,"",Biometria!J108)</f>
        <v/>
      </c>
      <c r="K98" s="62" t="str">
        <f>IF(Biometria!K108=0,"",Biometria!K108)</f>
        <v/>
      </c>
    </row>
    <row r="99" spans="1:11" x14ac:dyDescent="0.25">
      <c r="A99" s="62" t="str">
        <f>IF(LEN(B98)&gt;0,Biometria!A109,"")</f>
        <v/>
      </c>
      <c r="B99" s="62" t="str">
        <f>IF(LEN(Biometria!B109)=0,"",Biometria!B109)</f>
        <v/>
      </c>
      <c r="C99" s="62" t="str">
        <f>IF(Biometria!C109=0,"",Biometria!C109)</f>
        <v/>
      </c>
      <c r="D99" s="62" t="str">
        <f>IF(Biometria!D109=0,"",Biometria!D109)</f>
        <v/>
      </c>
      <c r="E99" s="62" t="str">
        <f>IF(Biometria!E109=0,"",Biometria!E109)</f>
        <v/>
      </c>
      <c r="F99" s="62" t="str">
        <f>IF(Biometria!F109=0,"",Biometria!F109)</f>
        <v/>
      </c>
      <c r="G99" s="62" t="str">
        <f>IF(Biometria!G109=0,"",Biometria!G109)</f>
        <v/>
      </c>
      <c r="H99" s="62" t="str">
        <f>IF(Biometria!H109=0,"",Biometria!H109)</f>
        <v/>
      </c>
      <c r="I99" s="62" t="str">
        <f>IF(Biometria!I109=0,"",Biometria!I109)</f>
        <v/>
      </c>
      <c r="J99" s="62" t="str">
        <f>IF(Biometria!J109=0,"",Biometria!J109)</f>
        <v/>
      </c>
      <c r="K99" s="62" t="str">
        <f>IF(Biometria!K109=0,"",Biometria!K109)</f>
        <v/>
      </c>
    </row>
    <row r="100" spans="1:11" x14ac:dyDescent="0.25">
      <c r="A100" s="62" t="str">
        <f>IF(LEN(B99)&gt;0,Biometria!A110,"")</f>
        <v/>
      </c>
      <c r="B100" s="62" t="str">
        <f>IF(LEN(Biometria!B110)=0,"",Biometria!B110)</f>
        <v/>
      </c>
      <c r="C100" s="62" t="str">
        <f>IF(Biometria!C110=0,"",Biometria!C110)</f>
        <v/>
      </c>
      <c r="D100" s="62" t="str">
        <f>IF(Biometria!D110=0,"",Biometria!D110)</f>
        <v/>
      </c>
      <c r="E100" s="62" t="str">
        <f>IF(Biometria!E110=0,"",Biometria!E110)</f>
        <v/>
      </c>
      <c r="F100" s="62" t="str">
        <f>IF(Biometria!F110=0,"",Biometria!F110)</f>
        <v/>
      </c>
      <c r="G100" s="62" t="str">
        <f>IF(Biometria!G110=0,"",Biometria!G110)</f>
        <v/>
      </c>
      <c r="H100" s="62" t="str">
        <f>IF(Biometria!H110=0,"",Biometria!H110)</f>
        <v/>
      </c>
      <c r="I100" s="62" t="str">
        <f>IF(Biometria!I110=0,"",Biometria!I110)</f>
        <v/>
      </c>
      <c r="J100" s="62" t="str">
        <f>IF(Biometria!J110=0,"",Biometria!J110)</f>
        <v/>
      </c>
      <c r="K100" s="62" t="str">
        <f>IF(Biometria!K110=0,"",Biometria!K110)</f>
        <v/>
      </c>
    </row>
    <row r="101" spans="1:11" x14ac:dyDescent="0.25">
      <c r="A101" s="62" t="str">
        <f>IF(LEN(B100)&gt;0,Biometria!A111,"")</f>
        <v/>
      </c>
      <c r="B101" s="62" t="str">
        <f>IF(LEN(Biometria!B111)=0,"",Biometria!B111)</f>
        <v/>
      </c>
      <c r="C101" s="62" t="str">
        <f>IF(Biometria!C111=0,"",Biometria!C111)</f>
        <v/>
      </c>
      <c r="D101" s="62" t="str">
        <f>IF(Biometria!D111=0,"",Biometria!D111)</f>
        <v/>
      </c>
      <c r="E101" s="62" t="str">
        <f>IF(Biometria!E111=0,"",Biometria!E111)</f>
        <v/>
      </c>
      <c r="F101" s="62" t="str">
        <f>IF(Biometria!F111=0,"",Biometria!F111)</f>
        <v/>
      </c>
      <c r="G101" s="62" t="str">
        <f>IF(Biometria!G111=0,"",Biometria!G111)</f>
        <v/>
      </c>
      <c r="H101" s="62" t="str">
        <f>IF(Biometria!H111=0,"",Biometria!H111)</f>
        <v/>
      </c>
      <c r="I101" s="62" t="str">
        <f>IF(Biometria!I111=0,"",Biometria!I111)</f>
        <v/>
      </c>
      <c r="J101" s="62" t="str">
        <f>IF(Biometria!J111=0,"",Biometria!J111)</f>
        <v/>
      </c>
      <c r="K101" s="62" t="str">
        <f>IF(Biometria!K111=0,"",Biometria!K111)</f>
        <v/>
      </c>
    </row>
    <row r="102" spans="1:11" x14ac:dyDescent="0.25">
      <c r="A102" s="62" t="str">
        <f>IF(LEN(B101)&gt;0,Biometria!A112,"")</f>
        <v/>
      </c>
      <c r="B102" s="62" t="str">
        <f>IF(LEN(Biometria!B112)=0,"",Biometria!B112)</f>
        <v/>
      </c>
      <c r="C102" s="62" t="str">
        <f>IF(Biometria!C112=0,"",Biometria!C112)</f>
        <v/>
      </c>
      <c r="D102" s="62" t="str">
        <f>IF(Biometria!D112=0,"",Biometria!D112)</f>
        <v/>
      </c>
      <c r="E102" s="62" t="str">
        <f>IF(Biometria!E112=0,"",Biometria!E112)</f>
        <v/>
      </c>
      <c r="F102" s="62" t="str">
        <f>IF(Biometria!F112=0,"",Biometria!F112)</f>
        <v/>
      </c>
      <c r="G102" s="62" t="str">
        <f>IF(Biometria!G112=0,"",Biometria!G112)</f>
        <v/>
      </c>
      <c r="H102" s="62" t="str">
        <f>IF(Biometria!H112=0,"",Biometria!H112)</f>
        <v/>
      </c>
      <c r="I102" s="62" t="str">
        <f>IF(Biometria!I112=0,"",Biometria!I112)</f>
        <v/>
      </c>
      <c r="J102" s="62" t="str">
        <f>IF(Biometria!J112=0,"",Biometria!J112)</f>
        <v/>
      </c>
      <c r="K102" s="62" t="str">
        <f>IF(Biometria!K112=0,"",Biometria!K112)</f>
        <v/>
      </c>
    </row>
    <row r="103" spans="1:11" x14ac:dyDescent="0.25">
      <c r="A103" s="62" t="str">
        <f>IF(LEN(B102)&gt;0,Biometria!A113,"")</f>
        <v/>
      </c>
      <c r="B103" s="62" t="str">
        <f>IF(LEN(Biometria!B113)=0,"",Biometria!B113)</f>
        <v/>
      </c>
      <c r="C103" s="62" t="str">
        <f>IF(Biometria!C113=0,"",Biometria!C113)</f>
        <v/>
      </c>
      <c r="D103" s="62" t="str">
        <f>IF(Biometria!D113=0,"",Biometria!D113)</f>
        <v/>
      </c>
      <c r="E103" s="62" t="str">
        <f>IF(Biometria!E113=0,"",Biometria!E113)</f>
        <v/>
      </c>
      <c r="F103" s="62" t="str">
        <f>IF(Biometria!F113=0,"",Biometria!F113)</f>
        <v/>
      </c>
      <c r="G103" s="62" t="str">
        <f>IF(Biometria!G113=0,"",Biometria!G113)</f>
        <v/>
      </c>
      <c r="H103" s="62" t="str">
        <f>IF(Biometria!H113=0,"",Biometria!H113)</f>
        <v/>
      </c>
      <c r="I103" s="62" t="str">
        <f>IF(Biometria!I113=0,"",Biometria!I113)</f>
        <v/>
      </c>
      <c r="J103" s="62" t="str">
        <f>IF(Biometria!J113=0,"",Biometria!J113)</f>
        <v/>
      </c>
      <c r="K103" s="62" t="str">
        <f>IF(Biometria!K113=0,"",Biometria!K113)</f>
        <v/>
      </c>
    </row>
    <row r="104" spans="1:11" x14ac:dyDescent="0.25">
      <c r="A104" s="62" t="str">
        <f>IF(LEN(B103)&gt;0,Biometria!A114,"")</f>
        <v/>
      </c>
      <c r="B104" s="62" t="str">
        <f>IF(LEN(Biometria!B114)=0,"",Biometria!B114)</f>
        <v/>
      </c>
      <c r="C104" s="62" t="str">
        <f>IF(Biometria!C114=0,"",Biometria!C114)</f>
        <v/>
      </c>
      <c r="D104" s="62" t="str">
        <f>IF(Biometria!D114=0,"",Biometria!D114)</f>
        <v/>
      </c>
      <c r="E104" s="62" t="str">
        <f>IF(Biometria!E114=0,"",Biometria!E114)</f>
        <v/>
      </c>
      <c r="F104" s="62" t="str">
        <f>IF(Biometria!F114=0,"",Biometria!F114)</f>
        <v/>
      </c>
      <c r="G104" s="62" t="str">
        <f>IF(Biometria!G114=0,"",Biometria!G114)</f>
        <v/>
      </c>
      <c r="H104" s="62" t="str">
        <f>IF(Biometria!H114=0,"",Biometria!H114)</f>
        <v/>
      </c>
      <c r="I104" s="62" t="str">
        <f>IF(Biometria!I114=0,"",Biometria!I114)</f>
        <v/>
      </c>
      <c r="J104" s="62" t="str">
        <f>IF(Biometria!J114=0,"",Biometria!J114)</f>
        <v/>
      </c>
      <c r="K104" s="62" t="str">
        <f>IF(Biometria!K114=0,"",Biometria!K114)</f>
        <v/>
      </c>
    </row>
    <row r="105" spans="1:11" x14ac:dyDescent="0.25">
      <c r="A105" s="62" t="str">
        <f>IF(LEN(B104)&gt;0,Biometria!A115,"")</f>
        <v/>
      </c>
      <c r="B105" s="62" t="str">
        <f>IF(LEN(Biometria!B115)=0,"",Biometria!B115)</f>
        <v/>
      </c>
      <c r="C105" s="62" t="str">
        <f>IF(Biometria!C115=0,"",Biometria!C115)</f>
        <v/>
      </c>
      <c r="D105" s="62" t="str">
        <f>IF(Biometria!D115=0,"",Biometria!D115)</f>
        <v/>
      </c>
      <c r="E105" s="62" t="str">
        <f>IF(Biometria!E115=0,"",Biometria!E115)</f>
        <v/>
      </c>
      <c r="F105" s="62" t="str">
        <f>IF(Biometria!F115=0,"",Biometria!F115)</f>
        <v/>
      </c>
      <c r="G105" s="62" t="str">
        <f>IF(Biometria!G115=0,"",Biometria!G115)</f>
        <v/>
      </c>
      <c r="H105" s="62" t="str">
        <f>IF(Biometria!H115=0,"",Biometria!H115)</f>
        <v/>
      </c>
      <c r="I105" s="62" t="str">
        <f>IF(Biometria!I115=0,"",Biometria!I115)</f>
        <v/>
      </c>
      <c r="J105" s="62" t="str">
        <f>IF(Biometria!J115=0,"",Biometria!J115)</f>
        <v/>
      </c>
      <c r="K105" s="62" t="str">
        <f>IF(Biometria!K115=0,"",Biometria!K115)</f>
        <v/>
      </c>
    </row>
    <row r="106" spans="1:11" x14ac:dyDescent="0.25">
      <c r="A106" s="62" t="str">
        <f>IF(LEN(B105)&gt;0,Biometria!A116,"")</f>
        <v/>
      </c>
      <c r="B106" s="62" t="str">
        <f>IF(LEN(Biometria!B116)=0,"",Biometria!B116)</f>
        <v/>
      </c>
      <c r="C106" s="62" t="str">
        <f>IF(Biometria!C116=0,"",Biometria!C116)</f>
        <v/>
      </c>
      <c r="D106" s="62" t="str">
        <f>IF(Biometria!D116=0,"",Biometria!D116)</f>
        <v/>
      </c>
      <c r="E106" s="62" t="str">
        <f>IF(Biometria!E116=0,"",Biometria!E116)</f>
        <v/>
      </c>
      <c r="F106" s="62" t="str">
        <f>IF(Biometria!F116=0,"",Biometria!F116)</f>
        <v/>
      </c>
      <c r="G106" s="62" t="str">
        <f>IF(Biometria!G116=0,"",Biometria!G116)</f>
        <v/>
      </c>
      <c r="H106" s="62" t="str">
        <f>IF(Biometria!H116=0,"",Biometria!H116)</f>
        <v/>
      </c>
      <c r="I106" s="62" t="str">
        <f>IF(Biometria!I116=0,"",Biometria!I116)</f>
        <v/>
      </c>
      <c r="J106" s="62" t="str">
        <f>IF(Biometria!J116=0,"",Biometria!J116)</f>
        <v/>
      </c>
      <c r="K106" s="62" t="str">
        <f>IF(Biometria!K116=0,"",Biometria!K116)</f>
        <v/>
      </c>
    </row>
    <row r="107" spans="1:11" x14ac:dyDescent="0.25">
      <c r="A107" s="62" t="str">
        <f>IF(LEN(B106)&gt;0,Biometria!A117,"")</f>
        <v/>
      </c>
      <c r="B107" s="62" t="str">
        <f>IF(LEN(Biometria!B117)=0,"",Biometria!B117)</f>
        <v/>
      </c>
      <c r="C107" s="62" t="str">
        <f>IF(Biometria!C117=0,"",Biometria!C117)</f>
        <v/>
      </c>
      <c r="D107" s="62" t="str">
        <f>IF(Biometria!D117=0,"",Biometria!D117)</f>
        <v/>
      </c>
      <c r="E107" s="62" t="str">
        <f>IF(Biometria!E117=0,"",Biometria!E117)</f>
        <v/>
      </c>
      <c r="F107" s="62" t="str">
        <f>IF(Biometria!F117=0,"",Biometria!F117)</f>
        <v/>
      </c>
      <c r="G107" s="62" t="str">
        <f>IF(Biometria!G117=0,"",Biometria!G117)</f>
        <v/>
      </c>
      <c r="H107" s="62" t="str">
        <f>IF(Biometria!H117=0,"",Biometria!H117)</f>
        <v/>
      </c>
      <c r="I107" s="62" t="str">
        <f>IF(Biometria!I117=0,"",Biometria!I117)</f>
        <v/>
      </c>
      <c r="J107" s="62" t="str">
        <f>IF(Biometria!J117=0,"",Biometria!J117)</f>
        <v/>
      </c>
      <c r="K107" s="62" t="str">
        <f>IF(Biometria!K117=0,"",Biometria!K117)</f>
        <v/>
      </c>
    </row>
    <row r="108" spans="1:11" x14ac:dyDescent="0.25">
      <c r="A108" s="62" t="str">
        <f>IF(LEN(B107)&gt;0,Biometria!A118,"")</f>
        <v/>
      </c>
      <c r="B108" s="62" t="str">
        <f>IF(LEN(Biometria!B118)=0,"",Biometria!B118)</f>
        <v/>
      </c>
      <c r="C108" s="62" t="str">
        <f>IF(Biometria!C118=0,"",Biometria!C118)</f>
        <v/>
      </c>
      <c r="D108" s="62" t="str">
        <f>IF(Biometria!D118=0,"",Biometria!D118)</f>
        <v/>
      </c>
      <c r="E108" s="62" t="str">
        <f>IF(Biometria!E118=0,"",Biometria!E118)</f>
        <v/>
      </c>
      <c r="F108" s="62" t="str">
        <f>IF(Biometria!F118=0,"",Biometria!F118)</f>
        <v/>
      </c>
      <c r="G108" s="62" t="str">
        <f>IF(Biometria!G118=0,"",Biometria!G118)</f>
        <v/>
      </c>
      <c r="H108" s="62" t="str">
        <f>IF(Biometria!H118=0,"",Biometria!H118)</f>
        <v/>
      </c>
      <c r="I108" s="62" t="str">
        <f>IF(Biometria!I118=0,"",Biometria!I118)</f>
        <v/>
      </c>
      <c r="J108" s="62" t="str">
        <f>IF(Biometria!J118=0,"",Biometria!J118)</f>
        <v/>
      </c>
      <c r="K108" s="62" t="str">
        <f>IF(Biometria!K118=0,"",Biometria!K118)</f>
        <v/>
      </c>
    </row>
    <row r="109" spans="1:11" x14ac:dyDescent="0.25">
      <c r="A109" s="62" t="str">
        <f>IF(LEN(B108)&gt;0,Biometria!A119,"")</f>
        <v/>
      </c>
      <c r="B109" s="62" t="str">
        <f>IF(LEN(Biometria!B119)=0,"",Biometria!B119)</f>
        <v/>
      </c>
      <c r="C109" s="62" t="str">
        <f>IF(Biometria!C119=0,"",Biometria!C119)</f>
        <v/>
      </c>
      <c r="D109" s="62" t="str">
        <f>IF(Biometria!D119=0,"",Biometria!D119)</f>
        <v/>
      </c>
      <c r="E109" s="62" t="str">
        <f>IF(Biometria!E119=0,"",Biometria!E119)</f>
        <v/>
      </c>
      <c r="F109" s="62" t="str">
        <f>IF(Biometria!F119=0,"",Biometria!F119)</f>
        <v/>
      </c>
      <c r="G109" s="62" t="str">
        <f>IF(Biometria!G119=0,"",Biometria!G119)</f>
        <v/>
      </c>
      <c r="H109" s="62" t="str">
        <f>IF(Biometria!H119=0,"",Biometria!H119)</f>
        <v/>
      </c>
      <c r="I109" s="62" t="str">
        <f>IF(Biometria!I119=0,"",Biometria!I119)</f>
        <v/>
      </c>
      <c r="J109" s="62" t="str">
        <f>IF(Biometria!J119=0,"",Biometria!J119)</f>
        <v/>
      </c>
      <c r="K109" s="62" t="str">
        <f>IF(Biometria!K119=0,"",Biometria!K119)</f>
        <v/>
      </c>
    </row>
    <row r="110" spans="1:11" x14ac:dyDescent="0.25">
      <c r="A110" s="62" t="str">
        <f>IF(LEN(B109)&gt;0,Biometria!A120,"")</f>
        <v/>
      </c>
      <c r="B110" s="62" t="str">
        <f>IF(LEN(Biometria!B120)=0,"",Biometria!B120)</f>
        <v/>
      </c>
      <c r="C110" s="62" t="str">
        <f>IF(Biometria!C120=0,"",Biometria!C120)</f>
        <v/>
      </c>
      <c r="D110" s="62" t="str">
        <f>IF(Biometria!D120=0,"",Biometria!D120)</f>
        <v/>
      </c>
      <c r="E110" s="62" t="str">
        <f>IF(Biometria!E120=0,"",Biometria!E120)</f>
        <v/>
      </c>
      <c r="F110" s="62" t="str">
        <f>IF(Biometria!F120=0,"",Biometria!F120)</f>
        <v/>
      </c>
      <c r="G110" s="62" t="str">
        <f>IF(Biometria!G120=0,"",Biometria!G120)</f>
        <v/>
      </c>
      <c r="H110" s="62" t="str">
        <f>IF(Biometria!H120=0,"",Biometria!H120)</f>
        <v/>
      </c>
      <c r="I110" s="62" t="str">
        <f>IF(Biometria!I120=0,"",Biometria!I120)</f>
        <v/>
      </c>
      <c r="J110" s="62" t="str">
        <f>IF(Biometria!J120=0,"",Biometria!J120)</f>
        <v/>
      </c>
      <c r="K110" s="62" t="str">
        <f>IF(Biometria!K120=0,"",Biometria!K120)</f>
        <v/>
      </c>
    </row>
    <row r="111" spans="1:11" x14ac:dyDescent="0.25">
      <c r="A111" s="62" t="str">
        <f>IF(LEN(B110)&gt;0,Biometria!A121,"")</f>
        <v/>
      </c>
      <c r="B111" s="62" t="str">
        <f>IF(LEN(Biometria!B121)=0,"",Biometria!B121)</f>
        <v/>
      </c>
      <c r="C111" s="62" t="str">
        <f>IF(Biometria!C121=0,"",Biometria!C121)</f>
        <v/>
      </c>
      <c r="D111" s="62" t="str">
        <f>IF(Biometria!D121=0,"",Biometria!D121)</f>
        <v/>
      </c>
      <c r="E111" s="62" t="str">
        <f>IF(Biometria!E121=0,"",Biometria!E121)</f>
        <v/>
      </c>
      <c r="F111" s="62" t="str">
        <f>IF(Biometria!F121=0,"",Biometria!F121)</f>
        <v/>
      </c>
      <c r="G111" s="62" t="str">
        <f>IF(Biometria!G121=0,"",Biometria!G121)</f>
        <v/>
      </c>
      <c r="H111" s="62" t="str">
        <f>IF(Biometria!H121=0,"",Biometria!H121)</f>
        <v/>
      </c>
      <c r="I111" s="62" t="str">
        <f>IF(Biometria!I121=0,"",Biometria!I121)</f>
        <v/>
      </c>
      <c r="J111" s="62" t="str">
        <f>IF(Biometria!J121=0,"",Biometria!J121)</f>
        <v/>
      </c>
      <c r="K111" s="62" t="str">
        <f>IF(Biometria!K121=0,"",Biometria!K121)</f>
        <v/>
      </c>
    </row>
    <row r="112" spans="1:11" x14ac:dyDescent="0.25">
      <c r="A112" s="62" t="str">
        <f>IF(LEN(B111)&gt;0,Biometria!A122,"")</f>
        <v/>
      </c>
      <c r="B112" s="62" t="str">
        <f>IF(LEN(Biometria!B122)=0,"",Biometria!B122)</f>
        <v/>
      </c>
      <c r="C112" s="62" t="str">
        <f>IF(Biometria!C122=0,"",Biometria!C122)</f>
        <v/>
      </c>
      <c r="D112" s="62" t="str">
        <f>IF(Biometria!D122=0,"",Biometria!D122)</f>
        <v/>
      </c>
      <c r="E112" s="62" t="str">
        <f>IF(Biometria!E122=0,"",Biometria!E122)</f>
        <v/>
      </c>
      <c r="F112" s="62" t="str">
        <f>IF(Biometria!F122=0,"",Biometria!F122)</f>
        <v/>
      </c>
      <c r="G112" s="62" t="str">
        <f>IF(Biometria!G122=0,"",Biometria!G122)</f>
        <v/>
      </c>
      <c r="H112" s="62" t="str">
        <f>IF(Biometria!H122=0,"",Biometria!H122)</f>
        <v/>
      </c>
      <c r="I112" s="62" t="str">
        <f>IF(Biometria!I122=0,"",Biometria!I122)</f>
        <v/>
      </c>
      <c r="J112" s="62" t="str">
        <f>IF(Biometria!J122=0,"",Biometria!J122)</f>
        <v/>
      </c>
      <c r="K112" s="62" t="str">
        <f>IF(Biometria!K122=0,"",Biometria!K122)</f>
        <v/>
      </c>
    </row>
    <row r="113" spans="1:11" x14ac:dyDescent="0.25">
      <c r="A113" s="62" t="str">
        <f>IF(LEN(B112)&gt;0,Biometria!A123,"")</f>
        <v/>
      </c>
      <c r="B113" s="62" t="str">
        <f>IF(LEN(Biometria!B123)=0,"",Biometria!B123)</f>
        <v/>
      </c>
      <c r="C113" s="62" t="str">
        <f>IF(Biometria!C123=0,"",Biometria!C123)</f>
        <v/>
      </c>
      <c r="D113" s="62" t="str">
        <f>IF(Biometria!D123=0,"",Biometria!D123)</f>
        <v/>
      </c>
      <c r="E113" s="62" t="str">
        <f>IF(Biometria!E123=0,"",Biometria!E123)</f>
        <v/>
      </c>
      <c r="F113" s="62" t="str">
        <f>IF(Biometria!F123=0,"",Biometria!F123)</f>
        <v/>
      </c>
      <c r="G113" s="62" t="str">
        <f>IF(Biometria!G123=0,"",Biometria!G123)</f>
        <v/>
      </c>
      <c r="H113" s="62" t="str">
        <f>IF(Biometria!H123=0,"",Biometria!H123)</f>
        <v/>
      </c>
      <c r="I113" s="62" t="str">
        <f>IF(Biometria!I123=0,"",Biometria!I123)</f>
        <v/>
      </c>
      <c r="J113" s="62" t="str">
        <f>IF(Biometria!J123=0,"",Biometria!J123)</f>
        <v/>
      </c>
      <c r="K113" s="62" t="str">
        <f>IF(Biometria!K123=0,"",Biometria!K123)</f>
        <v/>
      </c>
    </row>
    <row r="114" spans="1:11" x14ac:dyDescent="0.25">
      <c r="A114" s="62" t="str">
        <f>IF(LEN(B113)&gt;0,Biometria!A124,"")</f>
        <v/>
      </c>
      <c r="B114" s="62" t="str">
        <f>IF(LEN(Biometria!B124)=0,"",Biometria!B124)</f>
        <v/>
      </c>
      <c r="C114" s="62" t="str">
        <f>IF(Biometria!C124=0,"",Biometria!C124)</f>
        <v/>
      </c>
      <c r="D114" s="62" t="str">
        <f>IF(Biometria!D124=0,"",Biometria!D124)</f>
        <v/>
      </c>
      <c r="E114" s="62" t="str">
        <f>IF(Biometria!E124=0,"",Biometria!E124)</f>
        <v/>
      </c>
      <c r="F114" s="62" t="str">
        <f>IF(Biometria!F124=0,"",Biometria!F124)</f>
        <v/>
      </c>
      <c r="G114" s="62" t="str">
        <f>IF(Biometria!G124=0,"",Biometria!G124)</f>
        <v/>
      </c>
      <c r="H114" s="62" t="str">
        <f>IF(Biometria!H124=0,"",Biometria!H124)</f>
        <v/>
      </c>
      <c r="I114" s="62" t="str">
        <f>IF(Biometria!I124=0,"",Biometria!I124)</f>
        <v/>
      </c>
      <c r="J114" s="62" t="str">
        <f>IF(Biometria!J124=0,"",Biometria!J124)</f>
        <v/>
      </c>
      <c r="K114" s="62" t="str">
        <f>IF(Biometria!K124=0,"",Biometria!K124)</f>
        <v/>
      </c>
    </row>
    <row r="115" spans="1:11" x14ac:dyDescent="0.25">
      <c r="A115" s="62" t="str">
        <f>IF(LEN(B114)&gt;0,Biometria!A125,"")</f>
        <v/>
      </c>
      <c r="B115" s="62" t="str">
        <f>IF(LEN(Biometria!B125)=0,"",Biometria!B125)</f>
        <v/>
      </c>
      <c r="C115" s="62" t="str">
        <f>IF(Biometria!C125=0,"",Biometria!C125)</f>
        <v/>
      </c>
      <c r="D115" s="62" t="str">
        <f>IF(Biometria!D125=0,"",Biometria!D125)</f>
        <v/>
      </c>
      <c r="E115" s="62" t="str">
        <f>IF(Biometria!E125=0,"",Biometria!E125)</f>
        <v/>
      </c>
      <c r="F115" s="62" t="str">
        <f>IF(Biometria!F125=0,"",Biometria!F125)</f>
        <v/>
      </c>
      <c r="G115" s="62" t="str">
        <f>IF(Biometria!G125=0,"",Biometria!G125)</f>
        <v/>
      </c>
      <c r="H115" s="62" t="str">
        <f>IF(Biometria!H125=0,"",Biometria!H125)</f>
        <v/>
      </c>
      <c r="I115" s="62" t="str">
        <f>IF(Biometria!I125=0,"",Biometria!I125)</f>
        <v/>
      </c>
      <c r="J115" s="62" t="str">
        <f>IF(Biometria!J125=0,"",Biometria!J125)</f>
        <v/>
      </c>
      <c r="K115" s="62" t="str">
        <f>IF(Biometria!K125=0,"",Biometria!K125)</f>
        <v/>
      </c>
    </row>
    <row r="116" spans="1:11" x14ac:dyDescent="0.25">
      <c r="A116" s="62" t="str">
        <f>IF(LEN(B115)&gt;0,Biometria!A126,"")</f>
        <v/>
      </c>
      <c r="B116" s="62" t="str">
        <f>IF(LEN(Biometria!B126)=0,"",Biometria!B126)</f>
        <v/>
      </c>
      <c r="C116" s="62" t="str">
        <f>IF(Biometria!C126=0,"",Biometria!C126)</f>
        <v/>
      </c>
      <c r="D116" s="62" t="str">
        <f>IF(Biometria!D126=0,"",Biometria!D126)</f>
        <v/>
      </c>
      <c r="E116" s="62" t="str">
        <f>IF(Biometria!E126=0,"",Biometria!E126)</f>
        <v/>
      </c>
      <c r="F116" s="62" t="str">
        <f>IF(Biometria!F126=0,"",Biometria!F126)</f>
        <v/>
      </c>
      <c r="G116" s="62" t="str">
        <f>IF(Biometria!G126=0,"",Biometria!G126)</f>
        <v/>
      </c>
      <c r="H116" s="62" t="str">
        <f>IF(Biometria!H126=0,"",Biometria!H126)</f>
        <v/>
      </c>
      <c r="I116" s="62" t="str">
        <f>IF(Biometria!I126=0,"",Biometria!I126)</f>
        <v/>
      </c>
      <c r="J116" s="62" t="str">
        <f>IF(Biometria!J126=0,"",Biometria!J126)</f>
        <v/>
      </c>
      <c r="K116" s="62" t="str">
        <f>IF(Biometria!K126=0,"",Biometria!K126)</f>
        <v/>
      </c>
    </row>
    <row r="117" spans="1:11" x14ac:dyDescent="0.25">
      <c r="A117" s="62" t="str">
        <f>IF(LEN(B116)&gt;0,Biometria!A127,"")</f>
        <v/>
      </c>
      <c r="B117" s="62" t="str">
        <f>IF(LEN(Biometria!B127)=0,"",Biometria!B127)</f>
        <v/>
      </c>
      <c r="C117" s="62" t="str">
        <f>IF(Biometria!C127=0,"",Biometria!C127)</f>
        <v/>
      </c>
      <c r="D117" s="62" t="str">
        <f>IF(Biometria!D127=0,"",Biometria!D127)</f>
        <v/>
      </c>
      <c r="E117" s="62" t="str">
        <f>IF(Biometria!E127=0,"",Biometria!E127)</f>
        <v/>
      </c>
      <c r="F117" s="62" t="str">
        <f>IF(Biometria!F127=0,"",Biometria!F127)</f>
        <v/>
      </c>
      <c r="G117" s="62" t="str">
        <f>IF(Biometria!G127=0,"",Biometria!G127)</f>
        <v/>
      </c>
      <c r="H117" s="62" t="str">
        <f>IF(Biometria!H127=0,"",Biometria!H127)</f>
        <v/>
      </c>
      <c r="I117" s="62" t="str">
        <f>IF(Biometria!I127=0,"",Biometria!I127)</f>
        <v/>
      </c>
      <c r="J117" s="62" t="str">
        <f>IF(Biometria!J127=0,"",Biometria!J127)</f>
        <v/>
      </c>
      <c r="K117" s="62" t="str">
        <f>IF(Biometria!K127=0,"",Biometria!K127)</f>
        <v/>
      </c>
    </row>
    <row r="118" spans="1:11" x14ac:dyDescent="0.25">
      <c r="A118" s="62" t="str">
        <f>IF(LEN(B117)&gt;0,Biometria!A128,"")</f>
        <v/>
      </c>
      <c r="B118" s="62" t="str">
        <f>IF(LEN(Biometria!B128)=0,"",Biometria!B128)</f>
        <v/>
      </c>
      <c r="C118" s="62" t="str">
        <f>IF(Biometria!C128=0,"",Biometria!C128)</f>
        <v/>
      </c>
      <c r="D118" s="62" t="str">
        <f>IF(Biometria!D128=0,"",Biometria!D128)</f>
        <v/>
      </c>
      <c r="E118" s="62" t="str">
        <f>IF(Biometria!E128=0,"",Biometria!E128)</f>
        <v/>
      </c>
      <c r="F118" s="62" t="str">
        <f>IF(Biometria!F128=0,"",Biometria!F128)</f>
        <v/>
      </c>
      <c r="G118" s="62" t="str">
        <f>IF(Biometria!G128=0,"",Biometria!G128)</f>
        <v/>
      </c>
      <c r="H118" s="62" t="str">
        <f>IF(Biometria!H128=0,"",Biometria!H128)</f>
        <v/>
      </c>
      <c r="I118" s="62" t="str">
        <f>IF(Biometria!I128=0,"",Biometria!I128)</f>
        <v/>
      </c>
      <c r="J118" s="62" t="str">
        <f>IF(Biometria!J128=0,"",Biometria!J128)</f>
        <v/>
      </c>
      <c r="K118" s="62" t="str">
        <f>IF(Biometria!K128=0,"",Biometria!K128)</f>
        <v/>
      </c>
    </row>
    <row r="119" spans="1:11" x14ac:dyDescent="0.25">
      <c r="A119" s="62" t="str">
        <f>IF(LEN(B118)&gt;0,Biometria!A129,"")</f>
        <v/>
      </c>
      <c r="B119" s="62" t="str">
        <f>IF(LEN(Biometria!B129)=0,"",Biometria!B129)</f>
        <v/>
      </c>
      <c r="C119" s="62" t="str">
        <f>IF(Biometria!C129=0,"",Biometria!C129)</f>
        <v/>
      </c>
      <c r="D119" s="62" t="str">
        <f>IF(Biometria!D129=0,"",Biometria!D129)</f>
        <v/>
      </c>
      <c r="E119" s="62" t="str">
        <f>IF(Biometria!E129=0,"",Biometria!E129)</f>
        <v/>
      </c>
      <c r="F119" s="62" t="str">
        <f>IF(Biometria!F129=0,"",Biometria!F129)</f>
        <v/>
      </c>
      <c r="G119" s="62" t="str">
        <f>IF(Biometria!G129=0,"",Biometria!G129)</f>
        <v/>
      </c>
      <c r="H119" s="62" t="str">
        <f>IF(Biometria!H129=0,"",Biometria!H129)</f>
        <v/>
      </c>
      <c r="I119" s="62" t="str">
        <f>IF(Biometria!I129=0,"",Biometria!I129)</f>
        <v/>
      </c>
      <c r="J119" s="62" t="str">
        <f>IF(Biometria!J129=0,"",Biometria!J129)</f>
        <v/>
      </c>
      <c r="K119" s="62" t="str">
        <f>IF(Biometria!K129=0,"",Biometria!K129)</f>
        <v/>
      </c>
    </row>
    <row r="120" spans="1:11" x14ac:dyDescent="0.25">
      <c r="A120" s="62" t="str">
        <f>IF(LEN(B119)&gt;0,Biometria!A130,"")</f>
        <v/>
      </c>
      <c r="B120" s="62" t="str">
        <f>IF(LEN(Biometria!B130)=0,"",Biometria!B130)</f>
        <v/>
      </c>
      <c r="C120" s="62" t="str">
        <f>IF(Biometria!C130=0,"",Biometria!C130)</f>
        <v/>
      </c>
      <c r="D120" s="62" t="str">
        <f>IF(Biometria!D130=0,"",Biometria!D130)</f>
        <v/>
      </c>
      <c r="E120" s="62" t="str">
        <f>IF(Biometria!E130=0,"",Biometria!E130)</f>
        <v/>
      </c>
      <c r="F120" s="62" t="str">
        <f>IF(Biometria!F130=0,"",Biometria!F130)</f>
        <v/>
      </c>
      <c r="G120" s="62" t="str">
        <f>IF(Biometria!G130=0,"",Biometria!G130)</f>
        <v/>
      </c>
      <c r="H120" s="62" t="str">
        <f>IF(Biometria!H130=0,"",Biometria!H130)</f>
        <v/>
      </c>
      <c r="I120" s="62" t="str">
        <f>IF(Biometria!I130=0,"",Biometria!I130)</f>
        <v/>
      </c>
      <c r="J120" s="62" t="str">
        <f>IF(Biometria!J130=0,"",Biometria!J130)</f>
        <v/>
      </c>
      <c r="K120" s="62" t="str">
        <f>IF(Biometria!K130=0,"",Biometria!K130)</f>
        <v/>
      </c>
    </row>
    <row r="121" spans="1:11" x14ac:dyDescent="0.25">
      <c r="A121" s="62" t="str">
        <f>IF(LEN(B120)&gt;0,Biometria!A131,"")</f>
        <v/>
      </c>
      <c r="B121" s="62" t="str">
        <f>IF(LEN(Biometria!B131)=0,"",Biometria!B131)</f>
        <v/>
      </c>
      <c r="C121" s="62" t="str">
        <f>IF(Biometria!C131=0,"",Biometria!C131)</f>
        <v/>
      </c>
      <c r="D121" s="62" t="str">
        <f>IF(Biometria!D131=0,"",Biometria!D131)</f>
        <v/>
      </c>
      <c r="E121" s="62" t="str">
        <f>IF(Biometria!E131=0,"",Biometria!E131)</f>
        <v/>
      </c>
      <c r="F121" s="62" t="str">
        <f>IF(Biometria!F131=0,"",Biometria!F131)</f>
        <v/>
      </c>
      <c r="G121" s="62" t="str">
        <f>IF(Biometria!G131=0,"",Biometria!G131)</f>
        <v/>
      </c>
      <c r="H121" s="62" t="str">
        <f>IF(Biometria!H131=0,"",Biometria!H131)</f>
        <v/>
      </c>
      <c r="I121" s="62" t="str">
        <f>IF(Biometria!I131=0,"",Biometria!I131)</f>
        <v/>
      </c>
      <c r="J121" s="62" t="str">
        <f>IF(Biometria!J131=0,"",Biometria!J131)</f>
        <v/>
      </c>
      <c r="K121" s="62" t="str">
        <f>IF(Biometria!K131=0,"",Biometria!K131)</f>
        <v/>
      </c>
    </row>
    <row r="122" spans="1:11" x14ac:dyDescent="0.25">
      <c r="A122" s="62" t="str">
        <f>IF(LEN(B121)&gt;0,Biometria!A132,"")</f>
        <v/>
      </c>
      <c r="B122" s="62" t="str">
        <f>IF(LEN(Biometria!B132)=0,"",Biometria!B132)</f>
        <v/>
      </c>
      <c r="C122" s="62" t="str">
        <f>IF(Biometria!C132=0,"",Biometria!C132)</f>
        <v/>
      </c>
      <c r="D122" s="62" t="str">
        <f>IF(Biometria!D132=0,"",Biometria!D132)</f>
        <v/>
      </c>
      <c r="E122" s="62" t="str">
        <f>IF(Biometria!E132=0,"",Biometria!E132)</f>
        <v/>
      </c>
      <c r="F122" s="62" t="str">
        <f>IF(Biometria!F132=0,"",Biometria!F132)</f>
        <v/>
      </c>
      <c r="G122" s="62" t="str">
        <f>IF(Biometria!G132=0,"",Biometria!G132)</f>
        <v/>
      </c>
      <c r="H122" s="62" t="str">
        <f>IF(Biometria!H132=0,"",Biometria!H132)</f>
        <v/>
      </c>
      <c r="I122" s="62" t="str">
        <f>IF(Biometria!I132=0,"",Biometria!I132)</f>
        <v/>
      </c>
      <c r="J122" s="62" t="str">
        <f>IF(Biometria!J132=0,"",Biometria!J132)</f>
        <v/>
      </c>
      <c r="K122" s="62" t="str">
        <f>IF(Biometria!K132=0,"",Biometria!K132)</f>
        <v/>
      </c>
    </row>
    <row r="123" spans="1:11" x14ac:dyDescent="0.25">
      <c r="A123" s="62" t="str">
        <f>IF(LEN(B122)&gt;0,Biometria!A133,"")</f>
        <v/>
      </c>
      <c r="B123" s="62" t="str">
        <f>IF(LEN(Biometria!B133)=0,"",Biometria!B133)</f>
        <v/>
      </c>
      <c r="C123" s="62" t="str">
        <f>IF(Biometria!C133=0,"",Biometria!C133)</f>
        <v/>
      </c>
      <c r="D123" s="62" t="str">
        <f>IF(Biometria!D133=0,"",Biometria!D133)</f>
        <v/>
      </c>
      <c r="E123" s="62" t="str">
        <f>IF(Biometria!E133=0,"",Biometria!E133)</f>
        <v/>
      </c>
      <c r="F123" s="62" t="str">
        <f>IF(Biometria!F133=0,"",Biometria!F133)</f>
        <v/>
      </c>
      <c r="G123" s="62" t="str">
        <f>IF(Biometria!G133=0,"",Biometria!G133)</f>
        <v/>
      </c>
      <c r="H123" s="62" t="str">
        <f>IF(Biometria!H133=0,"",Biometria!H133)</f>
        <v/>
      </c>
      <c r="I123" s="62" t="str">
        <f>IF(Biometria!I133=0,"",Biometria!I133)</f>
        <v/>
      </c>
      <c r="J123" s="62" t="str">
        <f>IF(Biometria!J133=0,"",Biometria!J133)</f>
        <v/>
      </c>
      <c r="K123" s="62" t="str">
        <f>IF(Biometria!K133=0,"",Biometria!K133)</f>
        <v/>
      </c>
    </row>
    <row r="124" spans="1:11" x14ac:dyDescent="0.25">
      <c r="A124" s="62" t="str">
        <f>IF(LEN(B123)&gt;0,Biometria!A134,"")</f>
        <v/>
      </c>
      <c r="B124" s="62" t="str">
        <f>IF(LEN(Biometria!B134)=0,"",Biometria!B134)</f>
        <v/>
      </c>
      <c r="C124" s="62" t="str">
        <f>IF(Biometria!C134=0,"",Biometria!C134)</f>
        <v/>
      </c>
      <c r="D124" s="62" t="str">
        <f>IF(Biometria!D134=0,"",Biometria!D134)</f>
        <v/>
      </c>
      <c r="E124" s="62" t="str">
        <f>IF(Biometria!E134=0,"",Biometria!E134)</f>
        <v/>
      </c>
      <c r="F124" s="62" t="str">
        <f>IF(Biometria!F134=0,"",Biometria!F134)</f>
        <v/>
      </c>
      <c r="G124" s="62" t="str">
        <f>IF(Biometria!G134=0,"",Biometria!G134)</f>
        <v/>
      </c>
      <c r="H124" s="62" t="str">
        <f>IF(Biometria!H134=0,"",Biometria!H134)</f>
        <v/>
      </c>
      <c r="I124" s="62" t="str">
        <f>IF(Biometria!I134=0,"",Biometria!I134)</f>
        <v/>
      </c>
      <c r="J124" s="62" t="str">
        <f>IF(Biometria!J134=0,"",Biometria!J134)</f>
        <v/>
      </c>
      <c r="K124" s="62" t="str">
        <f>IF(Biometria!K134=0,"",Biometria!K134)</f>
        <v/>
      </c>
    </row>
    <row r="125" spans="1:11" x14ac:dyDescent="0.25">
      <c r="A125" s="62" t="str">
        <f>IF(LEN(B124)&gt;0,Biometria!A135,"")</f>
        <v/>
      </c>
      <c r="B125" s="62" t="str">
        <f>IF(LEN(Biometria!B135)=0,"",Biometria!B135)</f>
        <v/>
      </c>
      <c r="C125" s="62" t="str">
        <f>IF(Biometria!C135=0,"",Biometria!C135)</f>
        <v/>
      </c>
      <c r="D125" s="62" t="str">
        <f>IF(Biometria!D135=0,"",Biometria!D135)</f>
        <v/>
      </c>
      <c r="E125" s="62" t="str">
        <f>IF(Biometria!E135=0,"",Biometria!E135)</f>
        <v/>
      </c>
      <c r="F125" s="62" t="str">
        <f>IF(Biometria!F135=0,"",Biometria!F135)</f>
        <v/>
      </c>
      <c r="G125" s="62" t="str">
        <f>IF(Biometria!G135=0,"",Biometria!G135)</f>
        <v/>
      </c>
      <c r="H125" s="62" t="str">
        <f>IF(Biometria!H135=0,"",Biometria!H135)</f>
        <v/>
      </c>
      <c r="I125" s="62" t="str">
        <f>IF(Biometria!I135=0,"",Biometria!I135)</f>
        <v/>
      </c>
      <c r="J125" s="62" t="str">
        <f>IF(Biometria!J135=0,"",Biometria!J135)</f>
        <v/>
      </c>
      <c r="K125" s="62" t="str">
        <f>IF(Biometria!K135=0,"",Biometria!K135)</f>
        <v/>
      </c>
    </row>
    <row r="126" spans="1:11" x14ac:dyDescent="0.25">
      <c r="A126" s="62" t="str">
        <f>IF(LEN(B125)&gt;0,Biometria!A136,"")</f>
        <v/>
      </c>
      <c r="B126" s="62" t="str">
        <f>IF(LEN(Biometria!B136)=0,"",Biometria!B136)</f>
        <v/>
      </c>
      <c r="C126" s="62" t="str">
        <f>IF(Biometria!C136=0,"",Biometria!C136)</f>
        <v/>
      </c>
      <c r="D126" s="62" t="str">
        <f>IF(Biometria!D136=0,"",Biometria!D136)</f>
        <v/>
      </c>
      <c r="E126" s="62" t="str">
        <f>IF(Biometria!E136=0,"",Biometria!E136)</f>
        <v/>
      </c>
      <c r="F126" s="62" t="str">
        <f>IF(Biometria!F136=0,"",Biometria!F136)</f>
        <v/>
      </c>
      <c r="G126" s="62" t="str">
        <f>IF(Biometria!G136=0,"",Biometria!G136)</f>
        <v/>
      </c>
      <c r="H126" s="62" t="str">
        <f>IF(Biometria!H136=0,"",Biometria!H136)</f>
        <v/>
      </c>
      <c r="I126" s="62" t="str">
        <f>IF(Biometria!I136=0,"",Biometria!I136)</f>
        <v/>
      </c>
      <c r="J126" s="62" t="str">
        <f>IF(Biometria!J136=0,"",Biometria!J136)</f>
        <v/>
      </c>
      <c r="K126" s="62" t="str">
        <f>IF(Biometria!K136=0,"",Biometria!K136)</f>
        <v/>
      </c>
    </row>
    <row r="127" spans="1:11" x14ac:dyDescent="0.25">
      <c r="A127" s="62" t="str">
        <f>IF(LEN(B126)&gt;0,Biometria!A137,"")</f>
        <v/>
      </c>
      <c r="B127" s="62" t="str">
        <f>IF(LEN(Biometria!B137)=0,"",Biometria!B137)</f>
        <v/>
      </c>
      <c r="C127" s="62" t="str">
        <f>IF(Biometria!C137=0,"",Biometria!C137)</f>
        <v/>
      </c>
      <c r="D127" s="62" t="str">
        <f>IF(Biometria!D137=0,"",Biometria!D137)</f>
        <v/>
      </c>
      <c r="E127" s="62" t="str">
        <f>IF(Biometria!E137=0,"",Biometria!E137)</f>
        <v/>
      </c>
      <c r="F127" s="62" t="str">
        <f>IF(Biometria!F137=0,"",Biometria!F137)</f>
        <v/>
      </c>
      <c r="G127" s="62" t="str">
        <f>IF(Biometria!G137=0,"",Biometria!G137)</f>
        <v/>
      </c>
      <c r="H127" s="62" t="str">
        <f>IF(Biometria!H137=0,"",Biometria!H137)</f>
        <v/>
      </c>
      <c r="I127" s="62" t="str">
        <f>IF(Biometria!I137=0,"",Biometria!I137)</f>
        <v/>
      </c>
      <c r="J127" s="62" t="str">
        <f>IF(Biometria!J137=0,"",Biometria!J137)</f>
        <v/>
      </c>
      <c r="K127" s="62" t="str">
        <f>IF(Biometria!K137=0,"",Biometria!K137)</f>
        <v/>
      </c>
    </row>
    <row r="128" spans="1:11" x14ac:dyDescent="0.25">
      <c r="A128" s="62" t="str">
        <f>IF(LEN(B127)&gt;0,Biometria!A138,"")</f>
        <v/>
      </c>
      <c r="B128" s="62" t="str">
        <f>IF(LEN(Biometria!B138)=0,"",Biometria!B138)</f>
        <v/>
      </c>
      <c r="C128" s="62" t="str">
        <f>IF(Biometria!C138=0,"",Biometria!C138)</f>
        <v/>
      </c>
      <c r="D128" s="62" t="str">
        <f>IF(Biometria!D138=0,"",Biometria!D138)</f>
        <v/>
      </c>
      <c r="E128" s="62" t="str">
        <f>IF(Biometria!E138=0,"",Biometria!E138)</f>
        <v/>
      </c>
      <c r="F128" s="62" t="str">
        <f>IF(Biometria!F138=0,"",Biometria!F138)</f>
        <v/>
      </c>
      <c r="G128" s="62" t="str">
        <f>IF(Biometria!G138=0,"",Biometria!G138)</f>
        <v/>
      </c>
      <c r="H128" s="62" t="str">
        <f>IF(Biometria!H138=0,"",Biometria!H138)</f>
        <v/>
      </c>
      <c r="I128" s="62" t="str">
        <f>IF(Biometria!I138=0,"",Biometria!I138)</f>
        <v/>
      </c>
      <c r="J128" s="62" t="str">
        <f>IF(Biometria!J138=0,"",Biometria!J138)</f>
        <v/>
      </c>
      <c r="K128" s="62" t="str">
        <f>IF(Biometria!K138=0,"",Biometria!K138)</f>
        <v/>
      </c>
    </row>
    <row r="129" spans="1:11" x14ac:dyDescent="0.25">
      <c r="A129" s="62" t="str">
        <f>IF(LEN(B128)&gt;0,Biometria!A139,"")</f>
        <v/>
      </c>
      <c r="B129" s="62" t="str">
        <f>IF(LEN(Biometria!B139)=0,"",Biometria!B139)</f>
        <v/>
      </c>
      <c r="C129" s="62" t="str">
        <f>IF(Biometria!C139=0,"",Biometria!C139)</f>
        <v/>
      </c>
      <c r="D129" s="62" t="str">
        <f>IF(Biometria!D139=0,"",Biometria!D139)</f>
        <v/>
      </c>
      <c r="E129" s="62" t="str">
        <f>IF(Biometria!E139=0,"",Biometria!E139)</f>
        <v/>
      </c>
      <c r="F129" s="62" t="str">
        <f>IF(Biometria!F139=0,"",Biometria!F139)</f>
        <v/>
      </c>
      <c r="G129" s="62" t="str">
        <f>IF(Biometria!G139=0,"",Biometria!G139)</f>
        <v/>
      </c>
      <c r="H129" s="62" t="str">
        <f>IF(Biometria!H139=0,"",Biometria!H139)</f>
        <v/>
      </c>
      <c r="I129" s="62" t="str">
        <f>IF(Biometria!I139=0,"",Biometria!I139)</f>
        <v/>
      </c>
      <c r="J129" s="62" t="str">
        <f>IF(Biometria!J139=0,"",Biometria!J139)</f>
        <v/>
      </c>
      <c r="K129" s="62" t="str">
        <f>IF(Biometria!K139=0,"",Biometria!K139)</f>
        <v/>
      </c>
    </row>
    <row r="130" spans="1:11" x14ac:dyDescent="0.25">
      <c r="A130" s="62" t="str">
        <f>IF(LEN(B129)&gt;0,Biometria!A140,"")</f>
        <v/>
      </c>
      <c r="B130" s="62" t="str">
        <f>IF(LEN(Biometria!B140)=0,"",Biometria!B140)</f>
        <v/>
      </c>
      <c r="C130" s="62" t="str">
        <f>IF(Biometria!C140=0,"",Biometria!C140)</f>
        <v/>
      </c>
      <c r="D130" s="62" t="str">
        <f>IF(Biometria!D140=0,"",Biometria!D140)</f>
        <v/>
      </c>
      <c r="E130" s="62" t="str">
        <f>IF(Biometria!E140=0,"",Biometria!E140)</f>
        <v/>
      </c>
      <c r="F130" s="62" t="str">
        <f>IF(Biometria!F140=0,"",Biometria!F140)</f>
        <v/>
      </c>
      <c r="G130" s="62" t="str">
        <f>IF(Biometria!G140=0,"",Biometria!G140)</f>
        <v/>
      </c>
      <c r="H130" s="62" t="str">
        <f>IF(Biometria!H140=0,"",Biometria!H140)</f>
        <v/>
      </c>
      <c r="I130" s="62" t="str">
        <f>IF(Biometria!I140=0,"",Biometria!I140)</f>
        <v/>
      </c>
      <c r="J130" s="62" t="str">
        <f>IF(Biometria!J140=0,"",Biometria!J140)</f>
        <v/>
      </c>
      <c r="K130" s="62" t="str">
        <f>IF(Biometria!K140=0,"",Biometria!K140)</f>
        <v/>
      </c>
    </row>
    <row r="131" spans="1:11" x14ac:dyDescent="0.25">
      <c r="A131" s="62" t="str">
        <f>IF(LEN(B130)&gt;0,Biometria!A141,"")</f>
        <v/>
      </c>
      <c r="B131" s="62" t="str">
        <f>IF(LEN(Biometria!B141)=0,"",Biometria!B141)</f>
        <v/>
      </c>
      <c r="C131" s="62" t="str">
        <f>IF(Biometria!C141=0,"",Biometria!C141)</f>
        <v/>
      </c>
      <c r="D131" s="62" t="str">
        <f>IF(Biometria!D141=0,"",Biometria!D141)</f>
        <v/>
      </c>
      <c r="E131" s="62" t="str">
        <f>IF(Biometria!E141=0,"",Biometria!E141)</f>
        <v/>
      </c>
      <c r="F131" s="62" t="str">
        <f>IF(Biometria!F141=0,"",Biometria!F141)</f>
        <v/>
      </c>
      <c r="G131" s="62" t="str">
        <f>IF(Biometria!G141=0,"",Biometria!G141)</f>
        <v/>
      </c>
      <c r="H131" s="62" t="str">
        <f>IF(Biometria!H141=0,"",Biometria!H141)</f>
        <v/>
      </c>
      <c r="I131" s="62" t="str">
        <f>IF(Biometria!I141=0,"",Biometria!I141)</f>
        <v/>
      </c>
      <c r="J131" s="62" t="str">
        <f>IF(Biometria!J141=0,"",Biometria!J141)</f>
        <v/>
      </c>
      <c r="K131" s="62" t="str">
        <f>IF(Biometria!K141=0,"",Biometria!K141)</f>
        <v/>
      </c>
    </row>
    <row r="132" spans="1:11" x14ac:dyDescent="0.25">
      <c r="A132" s="62" t="str">
        <f>IF(LEN(B131)&gt;0,Biometria!A142,"")</f>
        <v/>
      </c>
      <c r="B132" s="62" t="str">
        <f>IF(LEN(Biometria!B142)=0,"",Biometria!B142)</f>
        <v/>
      </c>
      <c r="C132" s="62" t="str">
        <f>IF(Biometria!C142=0,"",Biometria!C142)</f>
        <v/>
      </c>
      <c r="D132" s="62" t="str">
        <f>IF(Biometria!D142=0,"",Biometria!D142)</f>
        <v/>
      </c>
      <c r="E132" s="62" t="str">
        <f>IF(Biometria!E142=0,"",Biometria!E142)</f>
        <v/>
      </c>
      <c r="F132" s="62" t="str">
        <f>IF(Biometria!F142=0,"",Biometria!F142)</f>
        <v/>
      </c>
      <c r="G132" s="62" t="str">
        <f>IF(Biometria!G142=0,"",Biometria!G142)</f>
        <v/>
      </c>
      <c r="H132" s="62" t="str">
        <f>IF(Biometria!H142=0,"",Biometria!H142)</f>
        <v/>
      </c>
      <c r="I132" s="62" t="str">
        <f>IF(Biometria!I142=0,"",Biometria!I142)</f>
        <v/>
      </c>
      <c r="J132" s="62" t="str">
        <f>IF(Biometria!J142=0,"",Biometria!J142)</f>
        <v/>
      </c>
      <c r="K132" s="62" t="str">
        <f>IF(Biometria!K142=0,"",Biometria!K142)</f>
        <v/>
      </c>
    </row>
    <row r="133" spans="1:11" x14ac:dyDescent="0.25">
      <c r="A133" s="62" t="str">
        <f>IF(LEN(B132)&gt;0,Biometria!A143,"")</f>
        <v/>
      </c>
      <c r="B133" s="62" t="str">
        <f>IF(LEN(Biometria!B143)=0,"",Biometria!B143)</f>
        <v/>
      </c>
      <c r="C133" s="62" t="str">
        <f>IF(Biometria!C143=0,"",Biometria!C143)</f>
        <v/>
      </c>
      <c r="D133" s="62" t="str">
        <f>IF(Biometria!D143=0,"",Biometria!D143)</f>
        <v/>
      </c>
      <c r="E133" s="62" t="str">
        <f>IF(Biometria!E143=0,"",Biometria!E143)</f>
        <v/>
      </c>
      <c r="F133" s="62" t="str">
        <f>IF(Biometria!F143=0,"",Biometria!F143)</f>
        <v/>
      </c>
      <c r="G133" s="62" t="str">
        <f>IF(Biometria!G143=0,"",Biometria!G143)</f>
        <v/>
      </c>
      <c r="H133" s="62" t="str">
        <f>IF(Biometria!H143=0,"",Biometria!H143)</f>
        <v/>
      </c>
      <c r="I133" s="62" t="str">
        <f>IF(Biometria!I143=0,"",Biometria!I143)</f>
        <v/>
      </c>
      <c r="J133" s="62" t="str">
        <f>IF(Biometria!J143=0,"",Biometria!J143)</f>
        <v/>
      </c>
      <c r="K133" s="62" t="str">
        <f>IF(Biometria!K143=0,"",Biometria!K143)</f>
        <v/>
      </c>
    </row>
    <row r="134" spans="1:11" x14ac:dyDescent="0.25">
      <c r="A134" s="62" t="str">
        <f>IF(LEN(B133)&gt;0,Biometria!A144,"")</f>
        <v/>
      </c>
      <c r="B134" s="62" t="str">
        <f>IF(LEN(Biometria!B144)=0,"",Biometria!B144)</f>
        <v/>
      </c>
      <c r="C134" s="62" t="str">
        <f>IF(Biometria!C144=0,"",Biometria!C144)</f>
        <v/>
      </c>
      <c r="D134" s="62" t="str">
        <f>IF(Biometria!D144=0,"",Biometria!D144)</f>
        <v/>
      </c>
      <c r="E134" s="62" t="str">
        <f>IF(Biometria!E144=0,"",Biometria!E144)</f>
        <v/>
      </c>
      <c r="F134" s="62" t="str">
        <f>IF(Biometria!F144=0,"",Biometria!F144)</f>
        <v/>
      </c>
      <c r="G134" s="62" t="str">
        <f>IF(Biometria!G144=0,"",Biometria!G144)</f>
        <v/>
      </c>
      <c r="H134" s="62" t="str">
        <f>IF(Biometria!H144=0,"",Biometria!H144)</f>
        <v/>
      </c>
      <c r="I134" s="62" t="str">
        <f>IF(Biometria!I144=0,"",Biometria!I144)</f>
        <v/>
      </c>
      <c r="J134" s="62" t="str">
        <f>IF(Biometria!J144=0,"",Biometria!J144)</f>
        <v/>
      </c>
      <c r="K134" s="62" t="str">
        <f>IF(Biometria!K144=0,"",Biometria!K144)</f>
        <v/>
      </c>
    </row>
    <row r="135" spans="1:11" x14ac:dyDescent="0.25">
      <c r="A135" s="62" t="str">
        <f>IF(LEN(B134)&gt;0,Biometria!A145,"")</f>
        <v/>
      </c>
      <c r="B135" s="62" t="str">
        <f>IF(LEN(Biometria!B145)=0,"",Biometria!B145)</f>
        <v/>
      </c>
      <c r="C135" s="62" t="str">
        <f>IF(Biometria!C145=0,"",Biometria!C145)</f>
        <v/>
      </c>
      <c r="D135" s="62" t="str">
        <f>IF(Biometria!D145=0,"",Biometria!D145)</f>
        <v/>
      </c>
      <c r="E135" s="62" t="str">
        <f>IF(Biometria!E145=0,"",Biometria!E145)</f>
        <v/>
      </c>
      <c r="F135" s="62" t="str">
        <f>IF(Biometria!F145=0,"",Biometria!F145)</f>
        <v/>
      </c>
      <c r="G135" s="62" t="str">
        <f>IF(Biometria!G145=0,"",Biometria!G145)</f>
        <v/>
      </c>
      <c r="H135" s="62" t="str">
        <f>IF(Biometria!H145=0,"",Biometria!H145)</f>
        <v/>
      </c>
      <c r="I135" s="62" t="str">
        <f>IF(Biometria!I145=0,"",Biometria!I145)</f>
        <v/>
      </c>
      <c r="J135" s="62" t="str">
        <f>IF(Biometria!J145=0,"",Biometria!J145)</f>
        <v/>
      </c>
      <c r="K135" s="62" t="str">
        <f>IF(Biometria!K145=0,"",Biometria!K145)</f>
        <v/>
      </c>
    </row>
    <row r="136" spans="1:11" x14ac:dyDescent="0.25">
      <c r="A136" s="62" t="str">
        <f>IF(LEN(B135)&gt;0,Biometria!A146,"")</f>
        <v/>
      </c>
      <c r="B136" s="62" t="str">
        <f>IF(LEN(Biometria!B146)=0,"",Biometria!B146)</f>
        <v/>
      </c>
      <c r="C136" s="62" t="str">
        <f>IF(Biometria!C146=0,"",Biometria!C146)</f>
        <v/>
      </c>
      <c r="D136" s="62" t="str">
        <f>IF(Biometria!D146=0,"",Biometria!D146)</f>
        <v/>
      </c>
      <c r="E136" s="62" t="str">
        <f>IF(Biometria!E146=0,"",Biometria!E146)</f>
        <v/>
      </c>
      <c r="F136" s="62" t="str">
        <f>IF(Biometria!F146=0,"",Biometria!F146)</f>
        <v/>
      </c>
      <c r="G136" s="62" t="str">
        <f>IF(Biometria!G146=0,"",Biometria!G146)</f>
        <v/>
      </c>
      <c r="H136" s="62" t="str">
        <f>IF(Biometria!H146=0,"",Biometria!H146)</f>
        <v/>
      </c>
      <c r="I136" s="62" t="str">
        <f>IF(Biometria!I146=0,"",Biometria!I146)</f>
        <v/>
      </c>
      <c r="J136" s="62" t="str">
        <f>IF(Biometria!J146=0,"",Biometria!J146)</f>
        <v/>
      </c>
      <c r="K136" s="62" t="str">
        <f>IF(Biometria!K146=0,"",Biometria!K146)</f>
        <v/>
      </c>
    </row>
    <row r="137" spans="1:11" x14ac:dyDescent="0.25">
      <c r="A137" s="62" t="str">
        <f>IF(LEN(B136)&gt;0,Biometria!A147,"")</f>
        <v/>
      </c>
      <c r="B137" s="62" t="str">
        <f>IF(LEN(Biometria!B147)=0,"",Biometria!B147)</f>
        <v/>
      </c>
      <c r="C137" s="62" t="str">
        <f>IF(Biometria!C147=0,"",Biometria!C147)</f>
        <v/>
      </c>
      <c r="D137" s="62" t="str">
        <f>IF(Biometria!D147=0,"",Biometria!D147)</f>
        <v/>
      </c>
      <c r="E137" s="62" t="str">
        <f>IF(Biometria!E147=0,"",Biometria!E147)</f>
        <v/>
      </c>
      <c r="F137" s="62" t="str">
        <f>IF(Biometria!F147=0,"",Biometria!F147)</f>
        <v/>
      </c>
      <c r="G137" s="62" t="str">
        <f>IF(Biometria!G147=0,"",Biometria!G147)</f>
        <v/>
      </c>
      <c r="H137" s="62" t="str">
        <f>IF(Biometria!H147=0,"",Biometria!H147)</f>
        <v/>
      </c>
      <c r="I137" s="62" t="str">
        <f>IF(Biometria!I147=0,"",Biometria!I147)</f>
        <v/>
      </c>
      <c r="J137" s="62" t="str">
        <f>IF(Biometria!J147=0,"",Biometria!J147)</f>
        <v/>
      </c>
      <c r="K137" s="62" t="str">
        <f>IF(Biometria!K147=0,"",Biometria!K147)</f>
        <v/>
      </c>
    </row>
    <row r="138" spans="1:11" x14ac:dyDescent="0.25">
      <c r="A138" s="62" t="str">
        <f>IF(LEN(B137)&gt;0,Biometria!A148,"")</f>
        <v/>
      </c>
      <c r="B138" s="62" t="str">
        <f>IF(LEN(Biometria!B148)=0,"",Biometria!B148)</f>
        <v/>
      </c>
      <c r="C138" s="62" t="str">
        <f>IF(Biometria!C148=0,"",Biometria!C148)</f>
        <v/>
      </c>
      <c r="D138" s="62" t="str">
        <f>IF(Biometria!D148=0,"",Biometria!D148)</f>
        <v/>
      </c>
      <c r="E138" s="62" t="str">
        <f>IF(Biometria!E148=0,"",Biometria!E148)</f>
        <v/>
      </c>
      <c r="F138" s="62" t="str">
        <f>IF(Biometria!F148=0,"",Biometria!F148)</f>
        <v/>
      </c>
      <c r="G138" s="62" t="str">
        <f>IF(Biometria!G148=0,"",Biometria!G148)</f>
        <v/>
      </c>
      <c r="H138" s="62" t="str">
        <f>IF(Biometria!H148=0,"",Biometria!H148)</f>
        <v/>
      </c>
      <c r="I138" s="62" t="str">
        <f>IF(Biometria!I148=0,"",Biometria!I148)</f>
        <v/>
      </c>
      <c r="J138" s="62" t="str">
        <f>IF(Biometria!J148=0,"",Biometria!J148)</f>
        <v/>
      </c>
      <c r="K138" s="62" t="str">
        <f>IF(Biometria!K148=0,"",Biometria!K148)</f>
        <v/>
      </c>
    </row>
    <row r="139" spans="1:11" x14ac:dyDescent="0.25">
      <c r="A139" s="62" t="str">
        <f>IF(LEN(B138)&gt;0,Biometria!A149,"")</f>
        <v/>
      </c>
      <c r="B139" s="62" t="str">
        <f>IF(LEN(Biometria!B149)=0,"",Biometria!B149)</f>
        <v/>
      </c>
      <c r="C139" s="62" t="str">
        <f>IF(Biometria!C149=0,"",Biometria!C149)</f>
        <v/>
      </c>
      <c r="D139" s="62" t="str">
        <f>IF(Biometria!D149=0,"",Biometria!D149)</f>
        <v/>
      </c>
      <c r="E139" s="62" t="str">
        <f>IF(Biometria!E149=0,"",Biometria!E149)</f>
        <v/>
      </c>
      <c r="F139" s="62" t="str">
        <f>IF(Biometria!F149=0,"",Biometria!F149)</f>
        <v/>
      </c>
      <c r="G139" s="62" t="str">
        <f>IF(Biometria!G149=0,"",Biometria!G149)</f>
        <v/>
      </c>
      <c r="H139" s="62" t="str">
        <f>IF(Biometria!H149=0,"",Biometria!H149)</f>
        <v/>
      </c>
      <c r="I139" s="62" t="str">
        <f>IF(Biometria!I149=0,"",Biometria!I149)</f>
        <v/>
      </c>
      <c r="J139" s="62" t="str">
        <f>IF(Biometria!J149=0,"",Biometria!J149)</f>
        <v/>
      </c>
      <c r="K139" s="62" t="str">
        <f>IF(Biometria!K149=0,"",Biometria!K149)</f>
        <v/>
      </c>
    </row>
    <row r="140" spans="1:11" x14ac:dyDescent="0.25">
      <c r="A140" s="62" t="str">
        <f>IF(LEN(B139)&gt;0,Biometria!A150,"")</f>
        <v/>
      </c>
      <c r="B140" s="62" t="str">
        <f>IF(LEN(Biometria!B150)=0,"",Biometria!B150)</f>
        <v/>
      </c>
      <c r="C140" s="62" t="str">
        <f>IF(Biometria!C150=0,"",Biometria!C150)</f>
        <v/>
      </c>
      <c r="D140" s="62" t="str">
        <f>IF(Biometria!D150=0,"",Biometria!D150)</f>
        <v/>
      </c>
      <c r="E140" s="62" t="str">
        <f>IF(Biometria!E150=0,"",Biometria!E150)</f>
        <v/>
      </c>
      <c r="F140" s="62" t="str">
        <f>IF(Biometria!F150=0,"",Biometria!F150)</f>
        <v/>
      </c>
      <c r="G140" s="62" t="str">
        <f>IF(Biometria!G150=0,"",Biometria!G150)</f>
        <v/>
      </c>
      <c r="H140" s="62" t="str">
        <f>IF(Biometria!H150=0,"",Biometria!H150)</f>
        <v/>
      </c>
      <c r="I140" s="62" t="str">
        <f>IF(Biometria!I150=0,"",Biometria!I150)</f>
        <v/>
      </c>
      <c r="J140" s="62" t="str">
        <f>IF(Biometria!J150=0,"",Biometria!J150)</f>
        <v/>
      </c>
      <c r="K140" s="62" t="str">
        <f>IF(Biometria!K150=0,"",Biometria!K150)</f>
        <v/>
      </c>
    </row>
    <row r="141" spans="1:11" x14ac:dyDescent="0.25">
      <c r="A141" s="62" t="str">
        <f>IF(LEN(B140)&gt;0,Biometria!A151,"")</f>
        <v/>
      </c>
      <c r="B141" s="62" t="str">
        <f>IF(LEN(Biometria!B151)=0,"",Biometria!B151)</f>
        <v/>
      </c>
      <c r="C141" s="62" t="str">
        <f>IF(Biometria!C151=0,"",Biometria!C151)</f>
        <v/>
      </c>
      <c r="D141" s="62" t="str">
        <f>IF(Biometria!D151=0,"",Biometria!D151)</f>
        <v/>
      </c>
      <c r="E141" s="62" t="str">
        <f>IF(Biometria!E151=0,"",Biometria!E151)</f>
        <v/>
      </c>
      <c r="F141" s="62" t="str">
        <f>IF(Biometria!F151=0,"",Biometria!F151)</f>
        <v/>
      </c>
      <c r="G141" s="62" t="str">
        <f>IF(Biometria!G151=0,"",Biometria!G151)</f>
        <v/>
      </c>
      <c r="H141" s="62" t="str">
        <f>IF(Biometria!H151=0,"",Biometria!H151)</f>
        <v/>
      </c>
      <c r="I141" s="62" t="str">
        <f>IF(Biometria!I151=0,"",Biometria!I151)</f>
        <v/>
      </c>
      <c r="J141" s="62" t="str">
        <f>IF(Biometria!J151=0,"",Biometria!J151)</f>
        <v/>
      </c>
      <c r="K141" s="62" t="str">
        <f>IF(Biometria!K151=0,"",Biometria!K151)</f>
        <v/>
      </c>
    </row>
    <row r="142" spans="1:11" x14ac:dyDescent="0.25">
      <c r="A142" s="62" t="str">
        <f>IF(LEN(B141)&gt;0,Biometria!A152,"")</f>
        <v/>
      </c>
      <c r="B142" s="62" t="str">
        <f>IF(LEN(Biometria!B152)=0,"",Biometria!B152)</f>
        <v/>
      </c>
      <c r="C142" s="62" t="str">
        <f>IF(Biometria!C152=0,"",Biometria!C152)</f>
        <v/>
      </c>
      <c r="D142" s="62" t="str">
        <f>IF(Biometria!D152=0,"",Biometria!D152)</f>
        <v/>
      </c>
      <c r="E142" s="62" t="str">
        <f>IF(Biometria!E152=0,"",Biometria!E152)</f>
        <v/>
      </c>
      <c r="F142" s="62" t="str">
        <f>IF(Biometria!F152=0,"",Biometria!F152)</f>
        <v/>
      </c>
      <c r="G142" s="62" t="str">
        <f>IF(Biometria!G152=0,"",Biometria!G152)</f>
        <v/>
      </c>
      <c r="H142" s="62" t="str">
        <f>IF(Biometria!H152=0,"",Biometria!H152)</f>
        <v/>
      </c>
      <c r="I142" s="62" t="str">
        <f>IF(Biometria!I152=0,"",Biometria!I152)</f>
        <v/>
      </c>
      <c r="J142" s="62" t="str">
        <f>IF(Biometria!J152=0,"",Biometria!J152)</f>
        <v/>
      </c>
      <c r="K142" s="62" t="str">
        <f>IF(Biometria!K152=0,"",Biometria!K152)</f>
        <v/>
      </c>
    </row>
    <row r="143" spans="1:11" x14ac:dyDescent="0.25">
      <c r="A143" s="62" t="str">
        <f>IF(LEN(B142)&gt;0,Biometria!A153,"")</f>
        <v/>
      </c>
      <c r="B143" s="62" t="str">
        <f>IF(LEN(Biometria!B153)=0,"",Biometria!B153)</f>
        <v/>
      </c>
      <c r="C143" s="62" t="str">
        <f>IF(Biometria!C153=0,"",Biometria!C153)</f>
        <v/>
      </c>
      <c r="D143" s="62" t="str">
        <f>IF(Biometria!D153=0,"",Biometria!D153)</f>
        <v/>
      </c>
      <c r="E143" s="62" t="str">
        <f>IF(Biometria!E153=0,"",Biometria!E153)</f>
        <v/>
      </c>
      <c r="F143" s="62" t="str">
        <f>IF(Biometria!F153=0,"",Biometria!F153)</f>
        <v/>
      </c>
      <c r="G143" s="62" t="str">
        <f>IF(Biometria!G153=0,"",Biometria!G153)</f>
        <v/>
      </c>
      <c r="H143" s="62" t="str">
        <f>IF(Biometria!H153=0,"",Biometria!H153)</f>
        <v/>
      </c>
      <c r="I143" s="62" t="str">
        <f>IF(Biometria!I153=0,"",Biometria!I153)</f>
        <v/>
      </c>
      <c r="J143" s="62" t="str">
        <f>IF(Biometria!J153=0,"",Biometria!J153)</f>
        <v/>
      </c>
      <c r="K143" s="62" t="str">
        <f>IF(Biometria!K153=0,"",Biometria!K153)</f>
        <v/>
      </c>
    </row>
    <row r="144" spans="1:11" x14ac:dyDescent="0.25">
      <c r="A144" s="62" t="str">
        <f>IF(LEN(B143)&gt;0,Biometria!A154,"")</f>
        <v/>
      </c>
      <c r="B144" s="62" t="str">
        <f>IF(LEN(Biometria!B154)=0,"",Biometria!B154)</f>
        <v/>
      </c>
      <c r="C144" s="62" t="str">
        <f>IF(Biometria!C154=0,"",Biometria!C154)</f>
        <v/>
      </c>
      <c r="D144" s="62" t="str">
        <f>IF(Biometria!D154=0,"",Biometria!D154)</f>
        <v/>
      </c>
      <c r="E144" s="62" t="str">
        <f>IF(Biometria!E154=0,"",Biometria!E154)</f>
        <v/>
      </c>
      <c r="F144" s="62" t="str">
        <f>IF(Biometria!F154=0,"",Biometria!F154)</f>
        <v/>
      </c>
      <c r="G144" s="62" t="str">
        <f>IF(Biometria!G154=0,"",Biometria!G154)</f>
        <v/>
      </c>
      <c r="H144" s="62" t="str">
        <f>IF(Biometria!H154=0,"",Biometria!H154)</f>
        <v/>
      </c>
      <c r="I144" s="62" t="str">
        <f>IF(Biometria!I154=0,"",Biometria!I154)</f>
        <v/>
      </c>
      <c r="J144" s="62" t="str">
        <f>IF(Biometria!J154=0,"",Biometria!J154)</f>
        <v/>
      </c>
      <c r="K144" s="62" t="str">
        <f>IF(Biometria!K154=0,"",Biometria!K154)</f>
        <v/>
      </c>
    </row>
    <row r="145" spans="1:11" x14ac:dyDescent="0.25">
      <c r="A145" s="62" t="str">
        <f>IF(LEN(B144)&gt;0,Biometria!A155,"")</f>
        <v/>
      </c>
      <c r="B145" s="62" t="str">
        <f>IF(LEN(Biometria!B155)=0,"",Biometria!B155)</f>
        <v/>
      </c>
      <c r="C145" s="62" t="str">
        <f>IF(Biometria!C155=0,"",Biometria!C155)</f>
        <v/>
      </c>
      <c r="D145" s="62" t="str">
        <f>IF(Biometria!D155=0,"",Biometria!D155)</f>
        <v/>
      </c>
      <c r="E145" s="62" t="str">
        <f>IF(Biometria!E155=0,"",Biometria!E155)</f>
        <v/>
      </c>
      <c r="F145" s="62" t="str">
        <f>IF(Biometria!F155=0,"",Biometria!F155)</f>
        <v/>
      </c>
      <c r="G145" s="62" t="str">
        <f>IF(Biometria!G155=0,"",Biometria!G155)</f>
        <v/>
      </c>
      <c r="H145" s="62" t="str">
        <f>IF(Biometria!H155=0,"",Biometria!H155)</f>
        <v/>
      </c>
      <c r="I145" s="62" t="str">
        <f>IF(Biometria!I155=0,"",Biometria!I155)</f>
        <v/>
      </c>
      <c r="J145" s="62" t="str">
        <f>IF(Biometria!J155=0,"",Biometria!J155)</f>
        <v/>
      </c>
      <c r="K145" s="62" t="str">
        <f>IF(Biometria!K155=0,"",Biometria!K155)</f>
        <v/>
      </c>
    </row>
    <row r="146" spans="1:11" x14ac:dyDescent="0.25">
      <c r="A146" s="62" t="str">
        <f>IF(LEN(B145)&gt;0,Biometria!A156,"")</f>
        <v/>
      </c>
      <c r="B146" s="62" t="str">
        <f>IF(LEN(Biometria!B156)=0,"",Biometria!B156)</f>
        <v/>
      </c>
      <c r="C146" s="62" t="str">
        <f>IF(Biometria!C156=0,"",Biometria!C156)</f>
        <v/>
      </c>
      <c r="D146" s="62" t="str">
        <f>IF(Biometria!D156=0,"",Biometria!D156)</f>
        <v/>
      </c>
      <c r="E146" s="62" t="str">
        <f>IF(Biometria!E156=0,"",Biometria!E156)</f>
        <v/>
      </c>
      <c r="F146" s="62" t="str">
        <f>IF(Biometria!F156=0,"",Biometria!F156)</f>
        <v/>
      </c>
      <c r="G146" s="62" t="str">
        <f>IF(Biometria!G156=0,"",Biometria!G156)</f>
        <v/>
      </c>
      <c r="H146" s="62" t="str">
        <f>IF(Biometria!H156=0,"",Biometria!H156)</f>
        <v/>
      </c>
      <c r="I146" s="62" t="str">
        <f>IF(Biometria!I156=0,"",Biometria!I156)</f>
        <v/>
      </c>
      <c r="J146" s="62" t="str">
        <f>IF(Biometria!J156=0,"",Biometria!J156)</f>
        <v/>
      </c>
      <c r="K146" s="62" t="str">
        <f>IF(Biometria!K156=0,"",Biometria!K156)</f>
        <v/>
      </c>
    </row>
    <row r="147" spans="1:11" x14ac:dyDescent="0.25">
      <c r="A147" s="62" t="str">
        <f>IF(LEN(B146)&gt;0,Biometria!A157,"")</f>
        <v/>
      </c>
      <c r="B147" s="62" t="str">
        <f>IF(LEN(Biometria!B157)=0,"",Biometria!B157)</f>
        <v/>
      </c>
      <c r="C147" s="62" t="str">
        <f>IF(Biometria!C157=0,"",Biometria!C157)</f>
        <v/>
      </c>
      <c r="D147" s="62" t="str">
        <f>IF(Biometria!D157=0,"",Biometria!D157)</f>
        <v/>
      </c>
      <c r="E147" s="62" t="str">
        <f>IF(Biometria!E157=0,"",Biometria!E157)</f>
        <v/>
      </c>
      <c r="F147" s="62" t="str">
        <f>IF(Biometria!F157=0,"",Biometria!F157)</f>
        <v/>
      </c>
      <c r="G147" s="62" t="str">
        <f>IF(Biometria!G157=0,"",Biometria!G157)</f>
        <v/>
      </c>
      <c r="H147" s="62" t="str">
        <f>IF(Biometria!H157=0,"",Biometria!H157)</f>
        <v/>
      </c>
      <c r="I147" s="62" t="str">
        <f>IF(Biometria!I157=0,"",Biometria!I157)</f>
        <v/>
      </c>
      <c r="J147" s="62" t="str">
        <f>IF(Biometria!J157=0,"",Biometria!J157)</f>
        <v/>
      </c>
      <c r="K147" s="62" t="str">
        <f>IF(Biometria!K157=0,"",Biometria!K157)</f>
        <v/>
      </c>
    </row>
    <row r="148" spans="1:11" x14ac:dyDescent="0.25">
      <c r="A148" s="62" t="str">
        <f>IF(LEN(B147)&gt;0,Biometria!A158,"")</f>
        <v/>
      </c>
      <c r="B148" s="62" t="str">
        <f>IF(LEN(Biometria!B158)=0,"",Biometria!B158)</f>
        <v/>
      </c>
      <c r="C148" s="62" t="str">
        <f>IF(Biometria!C158=0,"",Biometria!C158)</f>
        <v/>
      </c>
      <c r="D148" s="62" t="str">
        <f>IF(Biometria!D158=0,"",Biometria!D158)</f>
        <v/>
      </c>
      <c r="E148" s="62" t="str">
        <f>IF(Biometria!E158=0,"",Biometria!E158)</f>
        <v/>
      </c>
      <c r="F148" s="62" t="str">
        <f>IF(Biometria!F158=0,"",Biometria!F158)</f>
        <v/>
      </c>
      <c r="G148" s="62" t="str">
        <f>IF(Biometria!G158=0,"",Biometria!G158)</f>
        <v/>
      </c>
      <c r="H148" s="62" t="str">
        <f>IF(Biometria!H158=0,"",Biometria!H158)</f>
        <v/>
      </c>
      <c r="I148" s="62" t="str">
        <f>IF(Biometria!I158=0,"",Biometria!I158)</f>
        <v/>
      </c>
      <c r="J148" s="62" t="str">
        <f>IF(Biometria!J158=0,"",Biometria!J158)</f>
        <v/>
      </c>
      <c r="K148" s="62" t="str">
        <f>IF(Biometria!K158=0,"",Biometria!K158)</f>
        <v/>
      </c>
    </row>
    <row r="149" spans="1:11" x14ac:dyDescent="0.25">
      <c r="A149" s="62" t="str">
        <f>IF(LEN(B148)&gt;0,Biometria!A159,"")</f>
        <v/>
      </c>
      <c r="B149" s="62" t="str">
        <f>IF(LEN(Biometria!B159)=0,"",Biometria!B159)</f>
        <v/>
      </c>
      <c r="C149" s="62" t="str">
        <f>IF(Biometria!C159=0,"",Biometria!C159)</f>
        <v/>
      </c>
      <c r="D149" s="62" t="str">
        <f>IF(Biometria!D159=0,"",Biometria!D159)</f>
        <v/>
      </c>
      <c r="E149" s="62" t="str">
        <f>IF(Biometria!E159=0,"",Biometria!E159)</f>
        <v/>
      </c>
      <c r="F149" s="62" t="str">
        <f>IF(Biometria!F159=0,"",Biometria!F159)</f>
        <v/>
      </c>
      <c r="G149" s="62" t="str">
        <f>IF(Biometria!G159=0,"",Biometria!G159)</f>
        <v/>
      </c>
      <c r="H149" s="62" t="str">
        <f>IF(Biometria!H159=0,"",Biometria!H159)</f>
        <v/>
      </c>
      <c r="I149" s="62" t="str">
        <f>IF(Biometria!I159=0,"",Biometria!I159)</f>
        <v/>
      </c>
      <c r="J149" s="62" t="str">
        <f>IF(Biometria!J159=0,"",Biometria!J159)</f>
        <v/>
      </c>
      <c r="K149" s="62" t="str">
        <f>IF(Biometria!K159=0,"",Biometria!K159)</f>
        <v/>
      </c>
    </row>
    <row r="150" spans="1:11" x14ac:dyDescent="0.25">
      <c r="A150" s="62" t="str">
        <f>IF(LEN(B149)&gt;0,Biometria!A160,"")</f>
        <v/>
      </c>
      <c r="B150" s="62" t="str">
        <f>IF(LEN(Biometria!B160)=0,"",Biometria!B160)</f>
        <v/>
      </c>
      <c r="C150" s="62" t="str">
        <f>IF(Biometria!C160=0,"",Biometria!C160)</f>
        <v/>
      </c>
      <c r="D150" s="62" t="str">
        <f>IF(Biometria!D160=0,"",Biometria!D160)</f>
        <v/>
      </c>
      <c r="E150" s="62" t="str">
        <f>IF(Biometria!E160=0,"",Biometria!E160)</f>
        <v/>
      </c>
      <c r="F150" s="62" t="str">
        <f>IF(Biometria!F160=0,"",Biometria!F160)</f>
        <v/>
      </c>
      <c r="G150" s="62" t="str">
        <f>IF(Biometria!G160=0,"",Biometria!G160)</f>
        <v/>
      </c>
      <c r="H150" s="62" t="str">
        <f>IF(Biometria!H160=0,"",Biometria!H160)</f>
        <v/>
      </c>
      <c r="I150" s="62" t="str">
        <f>IF(Biometria!I160=0,"",Biometria!I160)</f>
        <v/>
      </c>
      <c r="J150" s="62" t="str">
        <f>IF(Biometria!J160=0,"",Biometria!J160)</f>
        <v/>
      </c>
      <c r="K150" s="62" t="str">
        <f>IF(Biometria!K160=0,"",Biometria!K160)</f>
        <v/>
      </c>
    </row>
    <row r="151" spans="1:11" x14ac:dyDescent="0.25">
      <c r="A151" s="62" t="str">
        <f>IF(LEN(B150)&gt;0,Biometria!A161,"")</f>
        <v/>
      </c>
      <c r="B151" s="62" t="str">
        <f>IF(LEN(Biometria!B161)=0,"",Biometria!B161)</f>
        <v/>
      </c>
      <c r="C151" s="62" t="str">
        <f>IF(Biometria!C161=0,"",Biometria!C161)</f>
        <v/>
      </c>
      <c r="D151" s="62" t="str">
        <f>IF(Biometria!D161=0,"",Biometria!D161)</f>
        <v/>
      </c>
      <c r="E151" s="62" t="str">
        <f>IF(Biometria!E161=0,"",Biometria!E161)</f>
        <v/>
      </c>
      <c r="F151" s="62" t="str">
        <f>IF(Biometria!F161=0,"",Biometria!F161)</f>
        <v/>
      </c>
      <c r="G151" s="62" t="str">
        <f>IF(Biometria!G161=0,"",Biometria!G161)</f>
        <v/>
      </c>
      <c r="H151" s="62" t="str">
        <f>IF(Biometria!H161=0,"",Biometria!H161)</f>
        <v/>
      </c>
      <c r="I151" s="62" t="str">
        <f>IF(Biometria!I161=0,"",Biometria!I161)</f>
        <v/>
      </c>
      <c r="J151" s="62" t="str">
        <f>IF(Biometria!J161=0,"",Biometria!J161)</f>
        <v/>
      </c>
      <c r="K151" s="62" t="str">
        <f>IF(Biometria!K161=0,"",Biometria!K161)</f>
        <v/>
      </c>
    </row>
    <row r="152" spans="1:11" x14ac:dyDescent="0.25">
      <c r="A152" s="62" t="str">
        <f>IF(LEN(B151)&gt;0,Biometria!A162,"")</f>
        <v/>
      </c>
      <c r="B152" s="62" t="str">
        <f>IF(LEN(Biometria!B162)=0,"",Biometria!B162)</f>
        <v/>
      </c>
      <c r="C152" s="62" t="str">
        <f>IF(Biometria!C162=0,"",Biometria!C162)</f>
        <v/>
      </c>
      <c r="D152" s="62" t="str">
        <f>IF(Biometria!D162=0,"",Biometria!D162)</f>
        <v/>
      </c>
      <c r="E152" s="62" t="str">
        <f>IF(Biometria!E162=0,"",Biometria!E162)</f>
        <v/>
      </c>
      <c r="F152" s="62" t="str">
        <f>IF(Biometria!F162=0,"",Biometria!F162)</f>
        <v/>
      </c>
      <c r="G152" s="62" t="str">
        <f>IF(Biometria!G162=0,"",Biometria!G162)</f>
        <v/>
      </c>
      <c r="H152" s="62" t="str">
        <f>IF(Biometria!H162=0,"",Biometria!H162)</f>
        <v/>
      </c>
      <c r="I152" s="62" t="str">
        <f>IF(Biometria!I162=0,"",Biometria!I162)</f>
        <v/>
      </c>
      <c r="J152" s="62" t="str">
        <f>IF(Biometria!J162=0,"",Biometria!J162)</f>
        <v/>
      </c>
      <c r="K152" s="62" t="str">
        <f>IF(Biometria!K162=0,"",Biometria!K162)</f>
        <v/>
      </c>
    </row>
    <row r="153" spans="1:11" x14ac:dyDescent="0.25">
      <c r="A153" s="62" t="str">
        <f>IF(LEN(B152)&gt;0,Biometria!A163,"")</f>
        <v/>
      </c>
      <c r="B153" s="62" t="str">
        <f>IF(LEN(Biometria!B163)=0,"",Biometria!B163)</f>
        <v/>
      </c>
      <c r="C153" s="62" t="str">
        <f>IF(Biometria!C163=0,"",Biometria!C163)</f>
        <v/>
      </c>
      <c r="D153" s="62" t="str">
        <f>IF(Biometria!D163=0,"",Biometria!D163)</f>
        <v/>
      </c>
      <c r="E153" s="62" t="str">
        <f>IF(Biometria!E163=0,"",Biometria!E163)</f>
        <v/>
      </c>
      <c r="F153" s="62" t="str">
        <f>IF(Biometria!F163=0,"",Biometria!F163)</f>
        <v/>
      </c>
      <c r="G153" s="62" t="str">
        <f>IF(Biometria!G163=0,"",Biometria!G163)</f>
        <v/>
      </c>
      <c r="H153" s="62" t="str">
        <f>IF(Biometria!H163=0,"",Biometria!H163)</f>
        <v/>
      </c>
      <c r="I153" s="62" t="str">
        <f>IF(Biometria!I163=0,"",Biometria!I163)</f>
        <v/>
      </c>
      <c r="J153" s="62" t="str">
        <f>IF(Biometria!J163=0,"",Biometria!J163)</f>
        <v/>
      </c>
      <c r="K153" s="62" t="str">
        <f>IF(Biometria!K163=0,"",Biometria!K163)</f>
        <v/>
      </c>
    </row>
    <row r="154" spans="1:11" x14ac:dyDescent="0.25">
      <c r="A154" s="62" t="str">
        <f>IF(LEN(B153)&gt;0,Biometria!A164,"")</f>
        <v/>
      </c>
      <c r="B154" s="62" t="str">
        <f>IF(LEN(Biometria!B164)=0,"",Biometria!B164)</f>
        <v/>
      </c>
      <c r="C154" s="62" t="str">
        <f>IF(Biometria!C164=0,"",Biometria!C164)</f>
        <v/>
      </c>
      <c r="D154" s="62" t="str">
        <f>IF(Biometria!D164=0,"",Biometria!D164)</f>
        <v/>
      </c>
      <c r="E154" s="62" t="str">
        <f>IF(Biometria!E164=0,"",Biometria!E164)</f>
        <v/>
      </c>
      <c r="F154" s="62" t="str">
        <f>IF(Biometria!F164=0,"",Biometria!F164)</f>
        <v/>
      </c>
      <c r="G154" s="62" t="str">
        <f>IF(Biometria!G164=0,"",Biometria!G164)</f>
        <v/>
      </c>
      <c r="H154" s="62" t="str">
        <f>IF(Biometria!H164=0,"",Biometria!H164)</f>
        <v/>
      </c>
      <c r="I154" s="62" t="str">
        <f>IF(Biometria!I164=0,"",Biometria!I164)</f>
        <v/>
      </c>
      <c r="J154" s="62" t="str">
        <f>IF(Biometria!J164=0,"",Biometria!J164)</f>
        <v/>
      </c>
      <c r="K154" s="62" t="str">
        <f>IF(Biometria!K164=0,"",Biometria!K164)</f>
        <v/>
      </c>
    </row>
    <row r="155" spans="1:11" x14ac:dyDescent="0.25">
      <c r="A155" s="62" t="str">
        <f>IF(LEN(B154)&gt;0,Biometria!A165,"")</f>
        <v/>
      </c>
      <c r="B155" s="62" t="str">
        <f>IF(LEN(Biometria!B165)=0,"",Biometria!B165)</f>
        <v/>
      </c>
      <c r="C155" s="62" t="str">
        <f>IF(Biometria!C165=0,"",Biometria!C165)</f>
        <v/>
      </c>
      <c r="D155" s="62" t="str">
        <f>IF(Biometria!D165=0,"",Biometria!D165)</f>
        <v/>
      </c>
      <c r="E155" s="62" t="str">
        <f>IF(Biometria!E165=0,"",Biometria!E165)</f>
        <v/>
      </c>
      <c r="F155" s="62" t="str">
        <f>IF(Biometria!F165=0,"",Biometria!F165)</f>
        <v/>
      </c>
      <c r="G155" s="62" t="str">
        <f>IF(Biometria!G165=0,"",Biometria!G165)</f>
        <v/>
      </c>
      <c r="H155" s="62" t="str">
        <f>IF(Biometria!H165=0,"",Biometria!H165)</f>
        <v/>
      </c>
      <c r="I155" s="62" t="str">
        <f>IF(Biometria!I165=0,"",Biometria!I165)</f>
        <v/>
      </c>
      <c r="J155" s="62" t="str">
        <f>IF(Biometria!J165=0,"",Biometria!J165)</f>
        <v/>
      </c>
      <c r="K155" s="62" t="str">
        <f>IF(Biometria!K165=0,"",Biometria!K165)</f>
        <v/>
      </c>
    </row>
    <row r="156" spans="1:11" x14ac:dyDescent="0.25">
      <c r="A156" s="62" t="str">
        <f>IF(LEN(B155)&gt;0,Biometria!A166,"")</f>
        <v/>
      </c>
      <c r="B156" s="62" t="str">
        <f>IF(LEN(Biometria!B166)=0,"",Biometria!B166)</f>
        <v/>
      </c>
      <c r="C156" s="62" t="str">
        <f>IF(Biometria!C166=0,"",Biometria!C166)</f>
        <v/>
      </c>
      <c r="D156" s="62" t="str">
        <f>IF(Biometria!D166=0,"",Biometria!D166)</f>
        <v/>
      </c>
      <c r="E156" s="62" t="str">
        <f>IF(Biometria!E166=0,"",Biometria!E166)</f>
        <v/>
      </c>
      <c r="F156" s="62" t="str">
        <f>IF(Biometria!F166=0,"",Biometria!F166)</f>
        <v/>
      </c>
      <c r="G156" s="62" t="str">
        <f>IF(Biometria!G166=0,"",Biometria!G166)</f>
        <v/>
      </c>
      <c r="H156" s="62" t="str">
        <f>IF(Biometria!H166=0,"",Biometria!H166)</f>
        <v/>
      </c>
      <c r="I156" s="62" t="str">
        <f>IF(Biometria!I166=0,"",Biometria!I166)</f>
        <v/>
      </c>
      <c r="J156" s="62" t="str">
        <f>IF(Biometria!J166=0,"",Biometria!J166)</f>
        <v/>
      </c>
      <c r="K156" s="62" t="str">
        <f>IF(Biometria!K166=0,"",Biometria!K166)</f>
        <v/>
      </c>
    </row>
    <row r="157" spans="1:11" x14ac:dyDescent="0.25">
      <c r="A157" s="62" t="str">
        <f>IF(LEN(B156)&gt;0,Biometria!A167,"")</f>
        <v/>
      </c>
      <c r="B157" s="62" t="str">
        <f>IF(LEN(Biometria!B167)=0,"",Biometria!B167)</f>
        <v/>
      </c>
      <c r="C157" s="62" t="str">
        <f>IF(Biometria!C167=0,"",Biometria!C167)</f>
        <v/>
      </c>
      <c r="D157" s="62" t="str">
        <f>IF(Biometria!D167=0,"",Biometria!D167)</f>
        <v/>
      </c>
      <c r="E157" s="62" t="str">
        <f>IF(Biometria!E167=0,"",Biometria!E167)</f>
        <v/>
      </c>
      <c r="F157" s="62" t="str">
        <f>IF(Biometria!F167=0,"",Biometria!F167)</f>
        <v/>
      </c>
      <c r="G157" s="62" t="str">
        <f>IF(Biometria!G167=0,"",Biometria!G167)</f>
        <v/>
      </c>
      <c r="H157" s="62" t="str">
        <f>IF(Biometria!H167=0,"",Biometria!H167)</f>
        <v/>
      </c>
      <c r="I157" s="62" t="str">
        <f>IF(Biometria!I167=0,"",Biometria!I167)</f>
        <v/>
      </c>
      <c r="J157" s="62" t="str">
        <f>IF(Biometria!J167=0,"",Biometria!J167)</f>
        <v/>
      </c>
      <c r="K157" s="62" t="str">
        <f>IF(Biometria!K167=0,"",Biometria!K167)</f>
        <v/>
      </c>
    </row>
    <row r="158" spans="1:11" x14ac:dyDescent="0.25">
      <c r="A158" s="62" t="str">
        <f>IF(LEN(B157)&gt;0,Biometria!A168,"")</f>
        <v/>
      </c>
      <c r="B158" s="62" t="str">
        <f>IF(LEN(Biometria!B168)=0,"",Biometria!B168)</f>
        <v/>
      </c>
      <c r="C158" s="62" t="str">
        <f>IF(Biometria!C168=0,"",Biometria!C168)</f>
        <v/>
      </c>
      <c r="D158" s="62" t="str">
        <f>IF(Biometria!D168=0,"",Biometria!D168)</f>
        <v/>
      </c>
      <c r="E158" s="62" t="str">
        <f>IF(Biometria!E168=0,"",Biometria!E168)</f>
        <v/>
      </c>
      <c r="F158" s="62" t="str">
        <f>IF(Biometria!F168=0,"",Biometria!F168)</f>
        <v/>
      </c>
      <c r="G158" s="62" t="str">
        <f>IF(Biometria!G168=0,"",Biometria!G168)</f>
        <v/>
      </c>
      <c r="H158" s="62" t="str">
        <f>IF(Biometria!H168=0,"",Biometria!H168)</f>
        <v/>
      </c>
      <c r="I158" s="62" t="str">
        <f>IF(Biometria!I168=0,"",Biometria!I168)</f>
        <v/>
      </c>
      <c r="J158" s="62" t="str">
        <f>IF(Biometria!J168=0,"",Biometria!J168)</f>
        <v/>
      </c>
      <c r="K158" s="62" t="str">
        <f>IF(Biometria!K168=0,"",Biometria!K168)</f>
        <v/>
      </c>
    </row>
    <row r="159" spans="1:11" x14ac:dyDescent="0.25">
      <c r="A159" s="62" t="str">
        <f>IF(LEN(B158)&gt;0,Biometria!A169,"")</f>
        <v/>
      </c>
      <c r="B159" s="62" t="str">
        <f>IF(LEN(Biometria!B169)=0,"",Biometria!B169)</f>
        <v/>
      </c>
      <c r="C159" s="62" t="str">
        <f>IF(Biometria!C169=0,"",Biometria!C169)</f>
        <v/>
      </c>
      <c r="D159" s="62" t="str">
        <f>IF(Biometria!D169=0,"",Biometria!D169)</f>
        <v/>
      </c>
      <c r="E159" s="62" t="str">
        <f>IF(Biometria!E169=0,"",Biometria!E169)</f>
        <v/>
      </c>
      <c r="F159" s="62" t="str">
        <f>IF(Biometria!F169=0,"",Biometria!F169)</f>
        <v/>
      </c>
      <c r="G159" s="62" t="str">
        <f>IF(Biometria!G169=0,"",Biometria!G169)</f>
        <v/>
      </c>
      <c r="H159" s="62" t="str">
        <f>IF(Biometria!H169=0,"",Biometria!H169)</f>
        <v/>
      </c>
      <c r="I159" s="62" t="str">
        <f>IF(Biometria!I169=0,"",Biometria!I169)</f>
        <v/>
      </c>
      <c r="J159" s="62" t="str">
        <f>IF(Biometria!J169=0,"",Biometria!J169)</f>
        <v/>
      </c>
      <c r="K159" s="62" t="str">
        <f>IF(Biometria!K169=0,"",Biometria!K169)</f>
        <v/>
      </c>
    </row>
    <row r="160" spans="1:11" x14ac:dyDescent="0.25">
      <c r="A160" s="62" t="str">
        <f>IF(LEN(B159)&gt;0,Biometria!A170,"")</f>
        <v/>
      </c>
      <c r="B160" s="62" t="str">
        <f>IF(LEN(Biometria!B170)=0,"",Biometria!B170)</f>
        <v/>
      </c>
      <c r="C160" s="62" t="str">
        <f>IF(Biometria!C170=0,"",Biometria!C170)</f>
        <v/>
      </c>
      <c r="D160" s="62" t="str">
        <f>IF(Biometria!D170=0,"",Biometria!D170)</f>
        <v/>
      </c>
      <c r="E160" s="62" t="str">
        <f>IF(Biometria!E170=0,"",Biometria!E170)</f>
        <v/>
      </c>
      <c r="F160" s="62" t="str">
        <f>IF(Biometria!F170=0,"",Biometria!F170)</f>
        <v/>
      </c>
      <c r="G160" s="62" t="str">
        <f>IF(Biometria!G170=0,"",Biometria!G170)</f>
        <v/>
      </c>
      <c r="H160" s="62" t="str">
        <f>IF(Biometria!H170=0,"",Biometria!H170)</f>
        <v/>
      </c>
      <c r="I160" s="62" t="str">
        <f>IF(Biometria!I170=0,"",Biometria!I170)</f>
        <v/>
      </c>
      <c r="J160" s="62" t="str">
        <f>IF(Biometria!J170=0,"",Biometria!J170)</f>
        <v/>
      </c>
      <c r="K160" s="62" t="str">
        <f>IF(Biometria!K170=0,"",Biometria!K170)</f>
        <v/>
      </c>
    </row>
    <row r="161" spans="1:11" x14ac:dyDescent="0.25">
      <c r="A161" s="62" t="str">
        <f>IF(LEN(B160)&gt;0,Biometria!A171,"")</f>
        <v/>
      </c>
      <c r="B161" s="62" t="str">
        <f>IF(LEN(Biometria!B171)=0,"",Biometria!B171)</f>
        <v/>
      </c>
      <c r="C161" s="62" t="str">
        <f>IF(Biometria!C171=0,"",Biometria!C171)</f>
        <v/>
      </c>
      <c r="D161" s="62" t="str">
        <f>IF(Biometria!D171=0,"",Biometria!D171)</f>
        <v/>
      </c>
      <c r="E161" s="62" t="str">
        <f>IF(Biometria!E171=0,"",Biometria!E171)</f>
        <v/>
      </c>
      <c r="F161" s="62" t="str">
        <f>IF(Biometria!F171=0,"",Biometria!F171)</f>
        <v/>
      </c>
      <c r="G161" s="62" t="str">
        <f>IF(Biometria!G171=0,"",Biometria!G171)</f>
        <v/>
      </c>
      <c r="H161" s="62" t="str">
        <f>IF(Biometria!H171=0,"",Biometria!H171)</f>
        <v/>
      </c>
      <c r="I161" s="62" t="str">
        <f>IF(Biometria!I171=0,"",Biometria!I171)</f>
        <v/>
      </c>
      <c r="J161" s="62" t="str">
        <f>IF(Biometria!J171=0,"",Biometria!J171)</f>
        <v/>
      </c>
      <c r="K161" s="62" t="str">
        <f>IF(Biometria!K171=0,"",Biometria!K171)</f>
        <v/>
      </c>
    </row>
    <row r="162" spans="1:11" x14ac:dyDescent="0.25">
      <c r="A162" s="62" t="str">
        <f>IF(LEN(B161)&gt;0,Biometria!A172,"")</f>
        <v/>
      </c>
      <c r="B162" s="62" t="str">
        <f>IF(LEN(Biometria!B172)=0,"",Biometria!B172)</f>
        <v/>
      </c>
      <c r="C162" s="62" t="str">
        <f>IF(Biometria!C172=0,"",Biometria!C172)</f>
        <v/>
      </c>
      <c r="D162" s="62" t="str">
        <f>IF(Biometria!D172=0,"",Biometria!D172)</f>
        <v/>
      </c>
      <c r="E162" s="62" t="str">
        <f>IF(Biometria!E172=0,"",Biometria!E172)</f>
        <v/>
      </c>
      <c r="F162" s="62" t="str">
        <f>IF(Biometria!F172=0,"",Biometria!F172)</f>
        <v/>
      </c>
      <c r="G162" s="62" t="str">
        <f>IF(Biometria!G172=0,"",Biometria!G172)</f>
        <v/>
      </c>
      <c r="H162" s="62" t="str">
        <f>IF(Biometria!H172=0,"",Biometria!H172)</f>
        <v/>
      </c>
      <c r="I162" s="62" t="str">
        <f>IF(Biometria!I172=0,"",Biometria!I172)</f>
        <v/>
      </c>
      <c r="J162" s="62" t="str">
        <f>IF(Biometria!J172=0,"",Biometria!J172)</f>
        <v/>
      </c>
      <c r="K162" s="62" t="str">
        <f>IF(Biometria!K172=0,"",Biometria!K172)</f>
        <v/>
      </c>
    </row>
    <row r="163" spans="1:11" x14ac:dyDescent="0.25">
      <c r="A163" s="62" t="str">
        <f>IF(LEN(B162)&gt;0,Biometria!A173,"")</f>
        <v/>
      </c>
      <c r="B163" s="62" t="str">
        <f>IF(LEN(Biometria!B173)=0,"",Biometria!B173)</f>
        <v/>
      </c>
      <c r="C163" s="62" t="str">
        <f>IF(Biometria!C173=0,"",Biometria!C173)</f>
        <v/>
      </c>
      <c r="D163" s="62" t="str">
        <f>IF(Biometria!D173=0,"",Biometria!D173)</f>
        <v/>
      </c>
      <c r="E163" s="62" t="str">
        <f>IF(Biometria!E173=0,"",Biometria!E173)</f>
        <v/>
      </c>
      <c r="F163" s="62" t="str">
        <f>IF(Biometria!F173=0,"",Biometria!F173)</f>
        <v/>
      </c>
      <c r="G163" s="62" t="str">
        <f>IF(Biometria!G173=0,"",Biometria!G173)</f>
        <v/>
      </c>
      <c r="H163" s="62" t="str">
        <f>IF(Biometria!H173=0,"",Biometria!H173)</f>
        <v/>
      </c>
      <c r="I163" s="62" t="str">
        <f>IF(Biometria!I173=0,"",Biometria!I173)</f>
        <v/>
      </c>
      <c r="J163" s="62" t="str">
        <f>IF(Biometria!J173=0,"",Biometria!J173)</f>
        <v/>
      </c>
      <c r="K163" s="62" t="str">
        <f>IF(Biometria!K173=0,"",Biometria!K173)</f>
        <v/>
      </c>
    </row>
    <row r="164" spans="1:11" x14ac:dyDescent="0.25">
      <c r="A164" s="62" t="str">
        <f>IF(LEN(B163)&gt;0,Biometria!A174,"")</f>
        <v/>
      </c>
      <c r="B164" s="62" t="str">
        <f>IF(LEN(Biometria!B174)=0,"",Biometria!B174)</f>
        <v/>
      </c>
      <c r="C164" s="62" t="str">
        <f>IF(Biometria!C174=0,"",Biometria!C174)</f>
        <v/>
      </c>
      <c r="D164" s="62" t="str">
        <f>IF(Biometria!D174=0,"",Biometria!D174)</f>
        <v/>
      </c>
      <c r="E164" s="62" t="str">
        <f>IF(Biometria!E174=0,"",Biometria!E174)</f>
        <v/>
      </c>
      <c r="F164" s="62" t="str">
        <f>IF(Biometria!F174=0,"",Biometria!F174)</f>
        <v/>
      </c>
      <c r="G164" s="62" t="str">
        <f>IF(Biometria!G174=0,"",Biometria!G174)</f>
        <v/>
      </c>
      <c r="H164" s="62" t="str">
        <f>IF(Biometria!H174=0,"",Biometria!H174)</f>
        <v/>
      </c>
      <c r="I164" s="62" t="str">
        <f>IF(Biometria!I174=0,"",Biometria!I174)</f>
        <v/>
      </c>
      <c r="J164" s="62" t="str">
        <f>IF(Biometria!J174=0,"",Biometria!J174)</f>
        <v/>
      </c>
      <c r="K164" s="62" t="str">
        <f>IF(Biometria!K174=0,"",Biometria!K174)</f>
        <v/>
      </c>
    </row>
    <row r="165" spans="1:11" x14ac:dyDescent="0.25">
      <c r="A165" s="62" t="str">
        <f>IF(LEN(B164)&gt;0,Biometria!A175,"")</f>
        <v/>
      </c>
      <c r="B165" s="62" t="str">
        <f>IF(LEN(Biometria!B175)=0,"",Biometria!B175)</f>
        <v/>
      </c>
      <c r="C165" s="62" t="str">
        <f>IF(Biometria!C175=0,"",Biometria!C175)</f>
        <v/>
      </c>
      <c r="D165" s="62" t="str">
        <f>IF(Biometria!D175=0,"",Biometria!D175)</f>
        <v/>
      </c>
      <c r="E165" s="62" t="str">
        <f>IF(Biometria!E175=0,"",Biometria!E175)</f>
        <v/>
      </c>
      <c r="F165" s="62" t="str">
        <f>IF(Biometria!F175=0,"",Biometria!F175)</f>
        <v/>
      </c>
      <c r="G165" s="62" t="str">
        <f>IF(Biometria!G175=0,"",Biometria!G175)</f>
        <v/>
      </c>
      <c r="H165" s="62" t="str">
        <f>IF(Biometria!H175=0,"",Biometria!H175)</f>
        <v/>
      </c>
      <c r="I165" s="62" t="str">
        <f>IF(Biometria!I175=0,"",Biometria!I175)</f>
        <v/>
      </c>
      <c r="J165" s="62" t="str">
        <f>IF(Biometria!J175=0,"",Biometria!J175)</f>
        <v/>
      </c>
      <c r="K165" s="62" t="str">
        <f>IF(Biometria!K175=0,"",Biometria!K175)</f>
        <v/>
      </c>
    </row>
    <row r="166" spans="1:11" x14ac:dyDescent="0.25">
      <c r="A166" s="62" t="str">
        <f>IF(LEN(B165)&gt;0,Biometria!A176,"")</f>
        <v/>
      </c>
      <c r="B166" s="62" t="str">
        <f>IF(LEN(Biometria!B176)=0,"",Biometria!B176)</f>
        <v/>
      </c>
      <c r="C166" s="62" t="str">
        <f>IF(Biometria!C176=0,"",Biometria!C176)</f>
        <v/>
      </c>
      <c r="D166" s="62" t="str">
        <f>IF(Biometria!D176=0,"",Biometria!D176)</f>
        <v/>
      </c>
      <c r="E166" s="62" t="str">
        <f>IF(Biometria!E176=0,"",Biometria!E176)</f>
        <v/>
      </c>
      <c r="F166" s="62" t="str">
        <f>IF(Biometria!F176=0,"",Biometria!F176)</f>
        <v/>
      </c>
      <c r="G166" s="62" t="str">
        <f>IF(Biometria!G176=0,"",Biometria!G176)</f>
        <v/>
      </c>
      <c r="H166" s="62" t="str">
        <f>IF(Biometria!H176=0,"",Biometria!H176)</f>
        <v/>
      </c>
      <c r="I166" s="62" t="str">
        <f>IF(Biometria!I176=0,"",Biometria!I176)</f>
        <v/>
      </c>
      <c r="J166" s="62" t="str">
        <f>IF(Biometria!J176=0,"",Biometria!J176)</f>
        <v/>
      </c>
      <c r="K166" s="62" t="str">
        <f>IF(Biometria!K176=0,"",Biometria!K176)</f>
        <v/>
      </c>
    </row>
    <row r="167" spans="1:11" x14ac:dyDescent="0.25">
      <c r="A167" s="62" t="str">
        <f>IF(LEN(B166)&gt;0,Biometria!A177,"")</f>
        <v/>
      </c>
      <c r="B167" s="62" t="str">
        <f>IF(LEN(Biometria!B177)=0,"",Biometria!B177)</f>
        <v/>
      </c>
      <c r="C167" s="62" t="str">
        <f>IF(Biometria!C177=0,"",Biometria!C177)</f>
        <v/>
      </c>
      <c r="D167" s="62" t="str">
        <f>IF(Biometria!D177=0,"",Biometria!D177)</f>
        <v/>
      </c>
      <c r="E167" s="62" t="str">
        <f>IF(Biometria!E177=0,"",Biometria!E177)</f>
        <v/>
      </c>
      <c r="F167" s="62" t="str">
        <f>IF(Biometria!F177=0,"",Biometria!F177)</f>
        <v/>
      </c>
      <c r="G167" s="62" t="str">
        <f>IF(Biometria!G177=0,"",Biometria!G177)</f>
        <v/>
      </c>
      <c r="H167" s="62" t="str">
        <f>IF(Biometria!H177=0,"",Biometria!H177)</f>
        <v/>
      </c>
      <c r="I167" s="62" t="str">
        <f>IF(Biometria!I177=0,"",Biometria!I177)</f>
        <v/>
      </c>
      <c r="J167" s="62" t="str">
        <f>IF(Biometria!J177=0,"",Biometria!J177)</f>
        <v/>
      </c>
      <c r="K167" s="62" t="str">
        <f>IF(Biometria!K177=0,"",Biometria!K177)</f>
        <v/>
      </c>
    </row>
    <row r="168" spans="1:11" x14ac:dyDescent="0.25">
      <c r="A168" s="62" t="str">
        <f>IF(LEN(B167)&gt;0,Biometria!A178,"")</f>
        <v/>
      </c>
      <c r="B168" s="62" t="str">
        <f>IF(LEN(Biometria!B178)=0,"",Biometria!B178)</f>
        <v/>
      </c>
      <c r="C168" s="62" t="str">
        <f>IF(Biometria!C178=0,"",Biometria!C178)</f>
        <v/>
      </c>
      <c r="D168" s="62" t="str">
        <f>IF(Biometria!D178=0,"",Biometria!D178)</f>
        <v/>
      </c>
      <c r="E168" s="62" t="str">
        <f>IF(Biometria!E178=0,"",Biometria!E178)</f>
        <v/>
      </c>
      <c r="F168" s="62" t="str">
        <f>IF(Biometria!F178=0,"",Biometria!F178)</f>
        <v/>
      </c>
      <c r="G168" s="62" t="str">
        <f>IF(Biometria!G178=0,"",Biometria!G178)</f>
        <v/>
      </c>
      <c r="H168" s="62" t="str">
        <f>IF(Biometria!H178=0,"",Biometria!H178)</f>
        <v/>
      </c>
      <c r="I168" s="62" t="str">
        <f>IF(Biometria!I178=0,"",Biometria!I178)</f>
        <v/>
      </c>
      <c r="J168" s="62" t="str">
        <f>IF(Biometria!J178=0,"",Biometria!J178)</f>
        <v/>
      </c>
      <c r="K168" s="62" t="str">
        <f>IF(Biometria!K178=0,"",Biometria!K178)</f>
        <v/>
      </c>
    </row>
    <row r="169" spans="1:11" x14ac:dyDescent="0.25">
      <c r="A169" s="62" t="str">
        <f>IF(LEN(B168)&gt;0,Biometria!A179,"")</f>
        <v/>
      </c>
      <c r="B169" s="62" t="str">
        <f>IF(LEN(Biometria!B179)=0,"",Biometria!B179)</f>
        <v/>
      </c>
      <c r="C169" s="62" t="str">
        <f>IF(Biometria!C179=0,"",Biometria!C179)</f>
        <v/>
      </c>
      <c r="D169" s="62" t="str">
        <f>IF(Biometria!D179=0,"",Biometria!D179)</f>
        <v/>
      </c>
      <c r="E169" s="62" t="str">
        <f>IF(Biometria!E179=0,"",Biometria!E179)</f>
        <v/>
      </c>
      <c r="F169" s="62" t="str">
        <f>IF(Biometria!F179=0,"",Biometria!F179)</f>
        <v/>
      </c>
      <c r="G169" s="62" t="str">
        <f>IF(Biometria!G179=0,"",Biometria!G179)</f>
        <v/>
      </c>
      <c r="H169" s="62" t="str">
        <f>IF(Biometria!H179=0,"",Biometria!H179)</f>
        <v/>
      </c>
      <c r="I169" s="62" t="str">
        <f>IF(Biometria!I179=0,"",Biometria!I179)</f>
        <v/>
      </c>
      <c r="J169" s="62" t="str">
        <f>IF(Biometria!J179=0,"",Biometria!J179)</f>
        <v/>
      </c>
      <c r="K169" s="62" t="str">
        <f>IF(Biometria!K179=0,"",Biometria!K179)</f>
        <v/>
      </c>
    </row>
    <row r="170" spans="1:11" x14ac:dyDescent="0.25">
      <c r="A170" s="62" t="str">
        <f>IF(LEN(B169)&gt;0,Biometria!A180,"")</f>
        <v/>
      </c>
      <c r="B170" s="62" t="str">
        <f>IF(LEN(Biometria!B180)=0,"",Biometria!B180)</f>
        <v/>
      </c>
      <c r="C170" s="62" t="str">
        <f>IF(Biometria!C180=0,"",Biometria!C180)</f>
        <v/>
      </c>
      <c r="D170" s="62" t="str">
        <f>IF(Biometria!D180=0,"",Biometria!D180)</f>
        <v/>
      </c>
      <c r="E170" s="62" t="str">
        <f>IF(Biometria!E180=0,"",Biometria!E180)</f>
        <v/>
      </c>
      <c r="F170" s="62" t="str">
        <f>IF(Biometria!F180=0,"",Biometria!F180)</f>
        <v/>
      </c>
      <c r="G170" s="62" t="str">
        <f>IF(Biometria!G180=0,"",Biometria!G180)</f>
        <v/>
      </c>
      <c r="H170" s="62" t="str">
        <f>IF(Biometria!H180=0,"",Biometria!H180)</f>
        <v/>
      </c>
      <c r="I170" s="62" t="str">
        <f>IF(Biometria!I180=0,"",Biometria!I180)</f>
        <v/>
      </c>
      <c r="J170" s="62" t="str">
        <f>IF(Biometria!J180=0,"",Biometria!J180)</f>
        <v/>
      </c>
      <c r="K170" s="62" t="str">
        <f>IF(Biometria!K180=0,"",Biometria!K180)</f>
        <v/>
      </c>
    </row>
    <row r="171" spans="1:11" x14ac:dyDescent="0.25">
      <c r="A171" s="62" t="str">
        <f>IF(LEN(B170)&gt;0,Biometria!A181,"")</f>
        <v/>
      </c>
      <c r="B171" s="62" t="str">
        <f>IF(LEN(Biometria!B181)=0,"",Biometria!B181)</f>
        <v/>
      </c>
      <c r="C171" s="62" t="str">
        <f>IF(Biometria!C181=0,"",Biometria!C181)</f>
        <v/>
      </c>
      <c r="D171" s="62" t="str">
        <f>IF(Biometria!D181=0,"",Biometria!D181)</f>
        <v/>
      </c>
      <c r="E171" s="62" t="str">
        <f>IF(Biometria!E181=0,"",Biometria!E181)</f>
        <v/>
      </c>
      <c r="F171" s="62" t="str">
        <f>IF(Biometria!F181=0,"",Biometria!F181)</f>
        <v/>
      </c>
      <c r="G171" s="62" t="str">
        <f>IF(Biometria!G181=0,"",Biometria!G181)</f>
        <v/>
      </c>
      <c r="H171" s="62" t="str">
        <f>IF(Biometria!H181=0,"",Biometria!H181)</f>
        <v/>
      </c>
      <c r="I171" s="62" t="str">
        <f>IF(Biometria!I181=0,"",Biometria!I181)</f>
        <v/>
      </c>
      <c r="J171" s="62" t="str">
        <f>IF(Biometria!J181=0,"",Biometria!J181)</f>
        <v/>
      </c>
      <c r="K171" s="62" t="str">
        <f>IF(Biometria!K181=0,"",Biometria!K181)</f>
        <v/>
      </c>
    </row>
    <row r="172" spans="1:11" x14ac:dyDescent="0.25">
      <c r="A172" s="62" t="str">
        <f>IF(LEN(B171)&gt;0,Biometria!A182,"")</f>
        <v/>
      </c>
      <c r="B172" s="62" t="str">
        <f>IF(LEN(Biometria!B182)=0,"",Biometria!B182)</f>
        <v/>
      </c>
      <c r="C172" s="62" t="str">
        <f>IF(Biometria!C182=0,"",Biometria!C182)</f>
        <v/>
      </c>
      <c r="D172" s="62" t="str">
        <f>IF(Biometria!D182=0,"",Biometria!D182)</f>
        <v/>
      </c>
      <c r="E172" s="62" t="str">
        <f>IF(Biometria!E182=0,"",Biometria!E182)</f>
        <v/>
      </c>
      <c r="F172" s="62" t="str">
        <f>IF(Biometria!F182=0,"",Biometria!F182)</f>
        <v/>
      </c>
      <c r="G172" s="62" t="str">
        <f>IF(Biometria!G182=0,"",Biometria!G182)</f>
        <v/>
      </c>
      <c r="H172" s="62" t="str">
        <f>IF(Biometria!H182=0,"",Biometria!H182)</f>
        <v/>
      </c>
      <c r="I172" s="62" t="str">
        <f>IF(Biometria!I182=0,"",Biometria!I182)</f>
        <v/>
      </c>
      <c r="J172" s="62" t="str">
        <f>IF(Biometria!J182=0,"",Biometria!J182)</f>
        <v/>
      </c>
      <c r="K172" s="62" t="str">
        <f>IF(Biometria!K182=0,"",Biometria!K182)</f>
        <v/>
      </c>
    </row>
    <row r="173" spans="1:11" x14ac:dyDescent="0.25">
      <c r="A173" s="62" t="str">
        <f>IF(LEN(B172)&gt;0,Biometria!A183,"")</f>
        <v/>
      </c>
      <c r="B173" s="62" t="str">
        <f>IF(LEN(Biometria!B183)=0,"",Biometria!B183)</f>
        <v/>
      </c>
      <c r="C173" s="62" t="str">
        <f>IF(Biometria!C183=0,"",Biometria!C183)</f>
        <v/>
      </c>
      <c r="D173" s="62" t="str">
        <f>IF(Biometria!D183=0,"",Biometria!D183)</f>
        <v/>
      </c>
      <c r="E173" s="62" t="str">
        <f>IF(Biometria!E183=0,"",Biometria!E183)</f>
        <v/>
      </c>
      <c r="F173" s="62" t="str">
        <f>IF(Biometria!F183=0,"",Biometria!F183)</f>
        <v/>
      </c>
      <c r="G173" s="62" t="str">
        <f>IF(Biometria!G183=0,"",Biometria!G183)</f>
        <v/>
      </c>
      <c r="H173" s="62" t="str">
        <f>IF(Biometria!H183=0,"",Biometria!H183)</f>
        <v/>
      </c>
      <c r="I173" s="62" t="str">
        <f>IF(Biometria!I183=0,"",Biometria!I183)</f>
        <v/>
      </c>
      <c r="J173" s="62" t="str">
        <f>IF(Biometria!J183=0,"",Biometria!J183)</f>
        <v/>
      </c>
      <c r="K173" s="62" t="str">
        <f>IF(Biometria!K183=0,"",Biometria!K183)</f>
        <v/>
      </c>
    </row>
    <row r="174" spans="1:11" x14ac:dyDescent="0.25">
      <c r="A174" s="62" t="str">
        <f>IF(LEN(B173)&gt;0,Biometria!A184,"")</f>
        <v/>
      </c>
      <c r="B174" s="62" t="str">
        <f>IF(LEN(Biometria!B184)=0,"",Biometria!B184)</f>
        <v/>
      </c>
      <c r="C174" s="62" t="str">
        <f>IF(Biometria!C184=0,"",Biometria!C184)</f>
        <v/>
      </c>
      <c r="D174" s="62" t="str">
        <f>IF(Biometria!D184=0,"",Biometria!D184)</f>
        <v/>
      </c>
      <c r="E174" s="62" t="str">
        <f>IF(Biometria!E184=0,"",Biometria!E184)</f>
        <v/>
      </c>
      <c r="F174" s="62" t="str">
        <f>IF(Biometria!F184=0,"",Biometria!F184)</f>
        <v/>
      </c>
      <c r="G174" s="62" t="str">
        <f>IF(Biometria!G184=0,"",Biometria!G184)</f>
        <v/>
      </c>
      <c r="H174" s="62" t="str">
        <f>IF(Biometria!H184=0,"",Biometria!H184)</f>
        <v/>
      </c>
      <c r="I174" s="62" t="str">
        <f>IF(Biometria!I184=0,"",Biometria!I184)</f>
        <v/>
      </c>
      <c r="J174" s="62" t="str">
        <f>IF(Biometria!J184=0,"",Biometria!J184)</f>
        <v/>
      </c>
      <c r="K174" s="62" t="str">
        <f>IF(Biometria!K184=0,"",Biometria!K184)</f>
        <v/>
      </c>
    </row>
    <row r="175" spans="1:11" x14ac:dyDescent="0.25">
      <c r="A175" s="62" t="str">
        <f>IF(LEN(B174)&gt;0,Biometria!A185,"")</f>
        <v/>
      </c>
      <c r="B175" s="62" t="str">
        <f>IF(LEN(Biometria!B185)=0,"",Biometria!B185)</f>
        <v/>
      </c>
      <c r="C175" s="62" t="str">
        <f>IF(Biometria!C185=0,"",Biometria!C185)</f>
        <v/>
      </c>
      <c r="D175" s="62" t="str">
        <f>IF(Biometria!D185=0,"",Biometria!D185)</f>
        <v/>
      </c>
      <c r="E175" s="62" t="str">
        <f>IF(Biometria!E185=0,"",Biometria!E185)</f>
        <v/>
      </c>
      <c r="F175" s="62" t="str">
        <f>IF(Biometria!F185=0,"",Biometria!F185)</f>
        <v/>
      </c>
      <c r="G175" s="62" t="str">
        <f>IF(Biometria!G185=0,"",Biometria!G185)</f>
        <v/>
      </c>
      <c r="H175" s="62" t="str">
        <f>IF(Biometria!H185=0,"",Biometria!H185)</f>
        <v/>
      </c>
      <c r="I175" s="62" t="str">
        <f>IF(Biometria!I185=0,"",Biometria!I185)</f>
        <v/>
      </c>
      <c r="J175" s="62" t="str">
        <f>IF(Biometria!J185=0,"",Biometria!J185)</f>
        <v/>
      </c>
      <c r="K175" s="62" t="str">
        <f>IF(Biometria!K185=0,"",Biometria!K185)</f>
        <v/>
      </c>
    </row>
    <row r="176" spans="1:11" x14ac:dyDescent="0.25">
      <c r="A176" s="62" t="str">
        <f>IF(LEN(B175)&gt;0,Biometria!A186,"")</f>
        <v/>
      </c>
      <c r="B176" s="62" t="str">
        <f>IF(LEN(Biometria!B186)=0,"",Biometria!B186)</f>
        <v/>
      </c>
      <c r="C176" s="62" t="str">
        <f>IF(Biometria!C186=0,"",Biometria!C186)</f>
        <v/>
      </c>
      <c r="D176" s="62" t="str">
        <f>IF(Biometria!D186=0,"",Biometria!D186)</f>
        <v/>
      </c>
      <c r="E176" s="62" t="str">
        <f>IF(Biometria!E186=0,"",Biometria!E186)</f>
        <v/>
      </c>
      <c r="F176" s="62" t="str">
        <f>IF(Biometria!F186=0,"",Biometria!F186)</f>
        <v/>
      </c>
      <c r="G176" s="62" t="str">
        <f>IF(Biometria!G186=0,"",Biometria!G186)</f>
        <v/>
      </c>
      <c r="H176" s="62" t="str">
        <f>IF(Biometria!H186=0,"",Biometria!H186)</f>
        <v/>
      </c>
      <c r="I176" s="62" t="str">
        <f>IF(Biometria!I186=0,"",Biometria!I186)</f>
        <v/>
      </c>
      <c r="J176" s="62" t="str">
        <f>IF(Biometria!J186=0,"",Biometria!J186)</f>
        <v/>
      </c>
      <c r="K176" s="62" t="str">
        <f>IF(Biometria!K186=0,"",Biometria!K186)</f>
        <v/>
      </c>
    </row>
    <row r="177" spans="1:11" x14ac:dyDescent="0.25">
      <c r="A177" s="62" t="str">
        <f>IF(LEN(B176)&gt;0,Biometria!A187,"")</f>
        <v/>
      </c>
      <c r="B177" s="62" t="str">
        <f>IF(LEN(Biometria!B187)=0,"",Biometria!B187)</f>
        <v/>
      </c>
      <c r="C177" s="62" t="str">
        <f>IF(Biometria!C187=0,"",Biometria!C187)</f>
        <v/>
      </c>
      <c r="D177" s="62" t="str">
        <f>IF(Biometria!D187=0,"",Biometria!D187)</f>
        <v/>
      </c>
      <c r="E177" s="62" t="str">
        <f>IF(Biometria!E187=0,"",Biometria!E187)</f>
        <v/>
      </c>
      <c r="F177" s="62" t="str">
        <f>IF(Biometria!F187=0,"",Biometria!F187)</f>
        <v/>
      </c>
      <c r="G177" s="62" t="str">
        <f>IF(Biometria!G187=0,"",Biometria!G187)</f>
        <v/>
      </c>
      <c r="H177" s="62" t="str">
        <f>IF(Biometria!H187=0,"",Biometria!H187)</f>
        <v/>
      </c>
      <c r="I177" s="62" t="str">
        <f>IF(Biometria!I187=0,"",Biometria!I187)</f>
        <v/>
      </c>
      <c r="J177" s="62" t="str">
        <f>IF(Biometria!J187=0,"",Biometria!J187)</f>
        <v/>
      </c>
      <c r="K177" s="62" t="str">
        <f>IF(Biometria!K187=0,"",Biometria!K187)</f>
        <v/>
      </c>
    </row>
    <row r="178" spans="1:11" x14ac:dyDescent="0.25">
      <c r="A178" s="62" t="str">
        <f>IF(LEN(B177)&gt;0,Biometria!A188,"")</f>
        <v/>
      </c>
      <c r="B178" s="62" t="str">
        <f>IF(LEN(Biometria!B188)=0,"",Biometria!B188)</f>
        <v/>
      </c>
      <c r="C178" s="62" t="str">
        <f>IF(Biometria!C188=0,"",Biometria!C188)</f>
        <v/>
      </c>
      <c r="D178" s="62" t="str">
        <f>IF(Biometria!D188=0,"",Biometria!D188)</f>
        <v/>
      </c>
      <c r="E178" s="62" t="str">
        <f>IF(Biometria!E188=0,"",Biometria!E188)</f>
        <v/>
      </c>
      <c r="F178" s="62" t="str">
        <f>IF(Biometria!F188=0,"",Biometria!F188)</f>
        <v/>
      </c>
      <c r="G178" s="62" t="str">
        <f>IF(Biometria!G188=0,"",Biometria!G188)</f>
        <v/>
      </c>
      <c r="H178" s="62" t="str">
        <f>IF(Biometria!H188=0,"",Biometria!H188)</f>
        <v/>
      </c>
      <c r="I178" s="62" t="str">
        <f>IF(Biometria!I188=0,"",Biometria!I188)</f>
        <v/>
      </c>
      <c r="J178" s="62" t="str">
        <f>IF(Biometria!J188=0,"",Biometria!J188)</f>
        <v/>
      </c>
      <c r="K178" s="62" t="str">
        <f>IF(Biometria!K188=0,"",Biometria!K188)</f>
        <v/>
      </c>
    </row>
    <row r="179" spans="1:11" x14ac:dyDescent="0.25">
      <c r="A179" s="62" t="str">
        <f>IF(LEN(B178)&gt;0,Biometria!A189,"")</f>
        <v/>
      </c>
      <c r="B179" s="62" t="str">
        <f>IF(LEN(Biometria!B189)=0,"",Biometria!B189)</f>
        <v/>
      </c>
      <c r="C179" s="62" t="str">
        <f>IF(Biometria!C189=0,"",Biometria!C189)</f>
        <v/>
      </c>
      <c r="D179" s="62" t="str">
        <f>IF(Biometria!D189=0,"",Biometria!D189)</f>
        <v/>
      </c>
      <c r="E179" s="62" t="str">
        <f>IF(Biometria!E189=0,"",Biometria!E189)</f>
        <v/>
      </c>
      <c r="F179" s="62" t="str">
        <f>IF(Biometria!F189=0,"",Biometria!F189)</f>
        <v/>
      </c>
      <c r="G179" s="62" t="str">
        <f>IF(Biometria!G189=0,"",Biometria!G189)</f>
        <v/>
      </c>
      <c r="H179" s="62" t="str">
        <f>IF(Biometria!H189=0,"",Biometria!H189)</f>
        <v/>
      </c>
      <c r="I179" s="62" t="str">
        <f>IF(Biometria!I189=0,"",Biometria!I189)</f>
        <v/>
      </c>
      <c r="J179" s="62" t="str">
        <f>IF(Biometria!J189=0,"",Biometria!J189)</f>
        <v/>
      </c>
      <c r="K179" s="62" t="str">
        <f>IF(Biometria!K189=0,"",Biometria!K189)</f>
        <v/>
      </c>
    </row>
    <row r="180" spans="1:11" x14ac:dyDescent="0.25">
      <c r="A180" s="62" t="str">
        <f>IF(LEN(B179)&gt;0,Biometria!A190,"")</f>
        <v/>
      </c>
      <c r="B180" s="62" t="str">
        <f>IF(LEN(Biometria!B190)=0,"",Biometria!B190)</f>
        <v/>
      </c>
      <c r="C180" s="62" t="str">
        <f>IF(Biometria!C190=0,"",Biometria!C190)</f>
        <v/>
      </c>
      <c r="D180" s="62" t="str">
        <f>IF(Biometria!D190=0,"",Biometria!D190)</f>
        <v/>
      </c>
      <c r="E180" s="62" t="str">
        <f>IF(Biometria!E190=0,"",Biometria!E190)</f>
        <v/>
      </c>
      <c r="F180" s="62" t="str">
        <f>IF(Biometria!F190=0,"",Biometria!F190)</f>
        <v/>
      </c>
      <c r="G180" s="62" t="str">
        <f>IF(Biometria!G190=0,"",Biometria!G190)</f>
        <v/>
      </c>
      <c r="H180" s="62" t="str">
        <f>IF(Biometria!H190=0,"",Biometria!H190)</f>
        <v/>
      </c>
      <c r="I180" s="62" t="str">
        <f>IF(Biometria!I190=0,"",Biometria!I190)</f>
        <v/>
      </c>
      <c r="J180" s="62" t="str">
        <f>IF(Biometria!J190=0,"",Biometria!J190)</f>
        <v/>
      </c>
      <c r="K180" s="62" t="str">
        <f>IF(Biometria!K190=0,"",Biometria!K190)</f>
        <v/>
      </c>
    </row>
    <row r="181" spans="1:11" x14ac:dyDescent="0.25">
      <c r="A181" s="62" t="str">
        <f>IF(LEN(B180)&gt;0,Biometria!A191,"")</f>
        <v/>
      </c>
      <c r="B181" s="62" t="str">
        <f>IF(LEN(Biometria!B191)=0,"",Biometria!B191)</f>
        <v/>
      </c>
      <c r="C181" s="62" t="str">
        <f>IF(Biometria!C191=0,"",Biometria!C191)</f>
        <v/>
      </c>
      <c r="D181" s="62" t="str">
        <f>IF(Biometria!D191=0,"",Biometria!D191)</f>
        <v/>
      </c>
      <c r="E181" s="62" t="str">
        <f>IF(Biometria!E191=0,"",Biometria!E191)</f>
        <v/>
      </c>
      <c r="F181" s="62" t="str">
        <f>IF(Biometria!F191=0,"",Biometria!F191)</f>
        <v/>
      </c>
      <c r="G181" s="62" t="str">
        <f>IF(Biometria!G191=0,"",Biometria!G191)</f>
        <v/>
      </c>
      <c r="H181" s="62" t="str">
        <f>IF(Biometria!H191=0,"",Biometria!H191)</f>
        <v/>
      </c>
      <c r="I181" s="62" t="str">
        <f>IF(Biometria!I191=0,"",Biometria!I191)</f>
        <v/>
      </c>
      <c r="J181" s="62" t="str">
        <f>IF(Biometria!J191=0,"",Biometria!J191)</f>
        <v/>
      </c>
      <c r="K181" s="62" t="str">
        <f>IF(Biometria!K191=0,"",Biometria!K191)</f>
        <v/>
      </c>
    </row>
    <row r="182" spans="1:11" x14ac:dyDescent="0.25">
      <c r="A182" s="62" t="str">
        <f>IF(LEN(B181)&gt;0,Biometria!A192,"")</f>
        <v/>
      </c>
      <c r="B182" s="62" t="str">
        <f>IF(LEN(Biometria!B192)=0,"",Biometria!B192)</f>
        <v/>
      </c>
      <c r="C182" s="62" t="str">
        <f>IF(Biometria!C192=0,"",Biometria!C192)</f>
        <v/>
      </c>
      <c r="D182" s="62" t="str">
        <f>IF(Biometria!D192=0,"",Biometria!D192)</f>
        <v/>
      </c>
      <c r="E182" s="62" t="str">
        <f>IF(Biometria!E192=0,"",Biometria!E192)</f>
        <v/>
      </c>
      <c r="F182" s="62" t="str">
        <f>IF(Biometria!F192=0,"",Biometria!F192)</f>
        <v/>
      </c>
      <c r="G182" s="62" t="str">
        <f>IF(Biometria!G192=0,"",Biometria!G192)</f>
        <v/>
      </c>
      <c r="H182" s="62" t="str">
        <f>IF(Biometria!H192=0,"",Biometria!H192)</f>
        <v/>
      </c>
      <c r="I182" s="62" t="str">
        <f>IF(Biometria!I192=0,"",Biometria!I192)</f>
        <v/>
      </c>
      <c r="J182" s="62" t="str">
        <f>IF(Biometria!J192=0,"",Biometria!J192)</f>
        <v/>
      </c>
      <c r="K182" s="62" t="str">
        <f>IF(Biometria!K192=0,"",Biometria!K192)</f>
        <v/>
      </c>
    </row>
    <row r="183" spans="1:11" x14ac:dyDescent="0.25">
      <c r="A183" s="62" t="str">
        <f>IF(LEN(B182)&gt;0,Biometria!A193,"")</f>
        <v/>
      </c>
      <c r="B183" s="62" t="str">
        <f>IF(LEN(Biometria!B193)=0,"",Biometria!B193)</f>
        <v/>
      </c>
      <c r="C183" s="62" t="str">
        <f>IF(Biometria!C193=0,"",Biometria!C193)</f>
        <v/>
      </c>
      <c r="D183" s="62" t="str">
        <f>IF(Biometria!D193=0,"",Biometria!D193)</f>
        <v/>
      </c>
      <c r="E183" s="62" t="str">
        <f>IF(Biometria!E193=0,"",Biometria!E193)</f>
        <v/>
      </c>
      <c r="F183" s="62" t="str">
        <f>IF(Biometria!F193=0,"",Biometria!F193)</f>
        <v/>
      </c>
      <c r="G183" s="62" t="str">
        <f>IF(Biometria!G193=0,"",Biometria!G193)</f>
        <v/>
      </c>
      <c r="H183" s="62" t="str">
        <f>IF(Biometria!H193=0,"",Biometria!H193)</f>
        <v/>
      </c>
      <c r="I183" s="62" t="str">
        <f>IF(Biometria!I193=0,"",Biometria!I193)</f>
        <v/>
      </c>
      <c r="J183" s="62" t="str">
        <f>IF(Biometria!J193=0,"",Biometria!J193)</f>
        <v/>
      </c>
      <c r="K183" s="62" t="str">
        <f>IF(Biometria!K193=0,"",Biometria!K193)</f>
        <v/>
      </c>
    </row>
    <row r="184" spans="1:11" x14ac:dyDescent="0.25">
      <c r="A184" s="62" t="str">
        <f>IF(LEN(B183)&gt;0,Biometria!A194,"")</f>
        <v/>
      </c>
      <c r="B184" s="62" t="str">
        <f>IF(LEN(Biometria!B194)=0,"",Biometria!B194)</f>
        <v/>
      </c>
      <c r="C184" s="62" t="str">
        <f>IF(Biometria!C194=0,"",Biometria!C194)</f>
        <v/>
      </c>
      <c r="D184" s="62" t="str">
        <f>IF(Biometria!D194=0,"",Biometria!D194)</f>
        <v/>
      </c>
      <c r="E184" s="62" t="str">
        <f>IF(Biometria!E194=0,"",Biometria!E194)</f>
        <v/>
      </c>
      <c r="F184" s="62" t="str">
        <f>IF(Biometria!F194=0,"",Biometria!F194)</f>
        <v/>
      </c>
      <c r="G184" s="62" t="str">
        <f>IF(Biometria!G194=0,"",Biometria!G194)</f>
        <v/>
      </c>
      <c r="H184" s="62" t="str">
        <f>IF(Biometria!H194=0,"",Biometria!H194)</f>
        <v/>
      </c>
      <c r="I184" s="62" t="str">
        <f>IF(Biometria!I194=0,"",Biometria!I194)</f>
        <v/>
      </c>
      <c r="J184" s="62" t="str">
        <f>IF(Biometria!J194=0,"",Biometria!J194)</f>
        <v/>
      </c>
      <c r="K184" s="62" t="str">
        <f>IF(Biometria!K194=0,"",Biometria!K194)</f>
        <v/>
      </c>
    </row>
    <row r="185" spans="1:11" x14ac:dyDescent="0.25">
      <c r="A185" s="62" t="str">
        <f>IF(LEN(B184)&gt;0,Biometria!A195,"")</f>
        <v/>
      </c>
      <c r="B185" s="62" t="str">
        <f>IF(LEN(Biometria!B195)=0,"",Biometria!B195)</f>
        <v/>
      </c>
      <c r="C185" s="62" t="str">
        <f>IF(Biometria!C195=0,"",Biometria!C195)</f>
        <v/>
      </c>
      <c r="D185" s="62" t="str">
        <f>IF(Biometria!D195=0,"",Biometria!D195)</f>
        <v/>
      </c>
      <c r="E185" s="62" t="str">
        <f>IF(Biometria!E195=0,"",Biometria!E195)</f>
        <v/>
      </c>
      <c r="F185" s="62" t="str">
        <f>IF(Biometria!F195=0,"",Biometria!F195)</f>
        <v/>
      </c>
      <c r="G185" s="62" t="str">
        <f>IF(Biometria!G195=0,"",Biometria!G195)</f>
        <v/>
      </c>
      <c r="H185" s="62" t="str">
        <f>IF(Biometria!H195=0,"",Biometria!H195)</f>
        <v/>
      </c>
      <c r="I185" s="62" t="str">
        <f>IF(Biometria!I195=0,"",Biometria!I195)</f>
        <v/>
      </c>
      <c r="J185" s="62" t="str">
        <f>IF(Biometria!J195=0,"",Biometria!J195)</f>
        <v/>
      </c>
      <c r="K185" s="62" t="str">
        <f>IF(Biometria!K195=0,"",Biometria!K195)</f>
        <v/>
      </c>
    </row>
    <row r="186" spans="1:11" x14ac:dyDescent="0.25">
      <c r="A186" s="62" t="str">
        <f>IF(LEN(B185)&gt;0,Biometria!A196,"")</f>
        <v/>
      </c>
      <c r="B186" s="62" t="str">
        <f>IF(LEN(Biometria!B196)=0,"",Biometria!B196)</f>
        <v/>
      </c>
      <c r="C186" s="62" t="str">
        <f>IF(Biometria!C196=0,"",Biometria!C196)</f>
        <v/>
      </c>
      <c r="D186" s="62" t="str">
        <f>IF(Biometria!D196=0,"",Biometria!D196)</f>
        <v/>
      </c>
      <c r="E186" s="62" t="str">
        <f>IF(Biometria!E196=0,"",Biometria!E196)</f>
        <v/>
      </c>
      <c r="F186" s="62" t="str">
        <f>IF(Biometria!F196=0,"",Biometria!F196)</f>
        <v/>
      </c>
      <c r="G186" s="62" t="str">
        <f>IF(Biometria!G196=0,"",Biometria!G196)</f>
        <v/>
      </c>
      <c r="H186" s="62" t="str">
        <f>IF(Biometria!H196=0,"",Biometria!H196)</f>
        <v/>
      </c>
      <c r="I186" s="62" t="str">
        <f>IF(Biometria!I196=0,"",Biometria!I196)</f>
        <v/>
      </c>
      <c r="J186" s="62" t="str">
        <f>IF(Biometria!J196=0,"",Biometria!J196)</f>
        <v/>
      </c>
      <c r="K186" s="62" t="str">
        <f>IF(Biometria!K196=0,"",Biometria!K196)</f>
        <v/>
      </c>
    </row>
    <row r="187" spans="1:11" x14ac:dyDescent="0.25">
      <c r="A187" s="62" t="str">
        <f>IF(LEN(B186)&gt;0,Biometria!A197,"")</f>
        <v/>
      </c>
      <c r="B187" s="62" t="str">
        <f>IF(LEN(Biometria!B197)=0,"",Biometria!B197)</f>
        <v/>
      </c>
      <c r="C187" s="62" t="str">
        <f>IF(Biometria!C197=0,"",Biometria!C197)</f>
        <v/>
      </c>
      <c r="D187" s="62" t="str">
        <f>IF(Biometria!D197=0,"",Biometria!D197)</f>
        <v/>
      </c>
      <c r="E187" s="62" t="str">
        <f>IF(Biometria!E197=0,"",Biometria!E197)</f>
        <v/>
      </c>
      <c r="F187" s="62" t="str">
        <f>IF(Biometria!F197=0,"",Biometria!F197)</f>
        <v/>
      </c>
      <c r="G187" s="62" t="str">
        <f>IF(Biometria!G197=0,"",Biometria!G197)</f>
        <v/>
      </c>
      <c r="H187" s="62" t="str">
        <f>IF(Biometria!H197=0,"",Biometria!H197)</f>
        <v/>
      </c>
      <c r="I187" s="62" t="str">
        <f>IF(Biometria!I197=0,"",Biometria!I197)</f>
        <v/>
      </c>
      <c r="J187" s="62" t="str">
        <f>IF(Biometria!J197=0,"",Biometria!J197)</f>
        <v/>
      </c>
      <c r="K187" s="62" t="str">
        <f>IF(Biometria!K197=0,"",Biometria!K197)</f>
        <v/>
      </c>
    </row>
    <row r="188" spans="1:11" x14ac:dyDescent="0.25">
      <c r="A188" s="62" t="str">
        <f>IF(LEN(B187)&gt;0,Biometria!A198,"")</f>
        <v/>
      </c>
      <c r="B188" s="62" t="str">
        <f>IF(LEN(Biometria!B198)=0,"",Biometria!B198)</f>
        <v/>
      </c>
      <c r="C188" s="62" t="str">
        <f>IF(Biometria!C198=0,"",Biometria!C198)</f>
        <v/>
      </c>
      <c r="D188" s="62" t="str">
        <f>IF(Biometria!D198=0,"",Biometria!D198)</f>
        <v/>
      </c>
      <c r="E188" s="62" t="str">
        <f>IF(Biometria!E198=0,"",Biometria!E198)</f>
        <v/>
      </c>
      <c r="F188" s="62" t="str">
        <f>IF(Biometria!F198=0,"",Biometria!F198)</f>
        <v/>
      </c>
      <c r="G188" s="62" t="str">
        <f>IF(Biometria!G198=0,"",Biometria!G198)</f>
        <v/>
      </c>
      <c r="H188" s="62" t="str">
        <f>IF(Biometria!H198=0,"",Biometria!H198)</f>
        <v/>
      </c>
      <c r="I188" s="62" t="str">
        <f>IF(Biometria!I198=0,"",Biometria!I198)</f>
        <v/>
      </c>
      <c r="J188" s="62" t="str">
        <f>IF(Biometria!J198=0,"",Biometria!J198)</f>
        <v/>
      </c>
      <c r="K188" s="62" t="str">
        <f>IF(Biometria!K198=0,"",Biometria!K198)</f>
        <v/>
      </c>
    </row>
    <row r="189" spans="1:11" x14ac:dyDescent="0.25">
      <c r="A189" s="62" t="str">
        <f>IF(LEN(B188)&gt;0,Biometria!A199,"")</f>
        <v/>
      </c>
      <c r="B189" s="62" t="str">
        <f>IF(LEN(Biometria!B199)=0,"",Biometria!B199)</f>
        <v/>
      </c>
      <c r="C189" s="62" t="str">
        <f>IF(Biometria!C199=0,"",Biometria!C199)</f>
        <v/>
      </c>
      <c r="D189" s="62" t="str">
        <f>IF(Biometria!D199=0,"",Biometria!D199)</f>
        <v/>
      </c>
      <c r="E189" s="62" t="str">
        <f>IF(Biometria!E199=0,"",Biometria!E199)</f>
        <v/>
      </c>
      <c r="F189" s="62" t="str">
        <f>IF(Biometria!F199=0,"",Biometria!F199)</f>
        <v/>
      </c>
      <c r="G189" s="62" t="str">
        <f>IF(Biometria!G199=0,"",Biometria!G199)</f>
        <v/>
      </c>
      <c r="H189" s="62" t="str">
        <f>IF(Biometria!H199=0,"",Biometria!H199)</f>
        <v/>
      </c>
      <c r="I189" s="62" t="str">
        <f>IF(Biometria!I199=0,"",Biometria!I199)</f>
        <v/>
      </c>
      <c r="J189" s="62" t="str">
        <f>IF(Biometria!J199=0,"",Biometria!J199)</f>
        <v/>
      </c>
      <c r="K189" s="62" t="str">
        <f>IF(Biometria!K199=0,"",Biometria!K199)</f>
        <v/>
      </c>
    </row>
    <row r="190" spans="1:11" x14ac:dyDescent="0.25">
      <c r="A190" s="62" t="str">
        <f>IF(LEN(B189)&gt;0,Biometria!A200,"")</f>
        <v/>
      </c>
      <c r="B190" s="62" t="str">
        <f>IF(LEN(Biometria!B200)=0,"",Biometria!B200)</f>
        <v/>
      </c>
      <c r="C190" s="62" t="str">
        <f>IF(Biometria!C200=0,"",Biometria!C200)</f>
        <v/>
      </c>
      <c r="D190" s="62" t="str">
        <f>IF(Biometria!D200=0,"",Biometria!D200)</f>
        <v/>
      </c>
      <c r="E190" s="62" t="str">
        <f>IF(Biometria!E200=0,"",Biometria!E200)</f>
        <v/>
      </c>
      <c r="F190" s="62" t="str">
        <f>IF(Biometria!F200=0,"",Biometria!F200)</f>
        <v/>
      </c>
      <c r="G190" s="62" t="str">
        <f>IF(Biometria!G200=0,"",Biometria!G200)</f>
        <v/>
      </c>
      <c r="H190" s="62" t="str">
        <f>IF(Biometria!H200=0,"",Biometria!H200)</f>
        <v/>
      </c>
      <c r="I190" s="62" t="str">
        <f>IF(Biometria!I200=0,"",Biometria!I200)</f>
        <v/>
      </c>
      <c r="J190" s="62" t="str">
        <f>IF(Biometria!J200=0,"",Biometria!J200)</f>
        <v/>
      </c>
      <c r="K190" s="62" t="str">
        <f>IF(Biometria!K200=0,"",Biometria!K200)</f>
        <v/>
      </c>
    </row>
    <row r="191" spans="1:11" x14ac:dyDescent="0.25">
      <c r="A191" s="62" t="str">
        <f>IF(LEN(B190)&gt;0,Biometria!A201,"")</f>
        <v/>
      </c>
      <c r="B191" s="62" t="str">
        <f>IF(LEN(Biometria!B201)=0,"",Biometria!B201)</f>
        <v/>
      </c>
      <c r="C191" s="62" t="str">
        <f>IF(Biometria!C201=0,"",Biometria!C201)</f>
        <v/>
      </c>
      <c r="D191" s="62" t="str">
        <f>IF(Biometria!D201=0,"",Biometria!D201)</f>
        <v/>
      </c>
      <c r="E191" s="62" t="str">
        <f>IF(Biometria!E201=0,"",Biometria!E201)</f>
        <v/>
      </c>
      <c r="F191" s="62" t="str">
        <f>IF(Biometria!F201=0,"",Biometria!F201)</f>
        <v/>
      </c>
      <c r="G191" s="62" t="str">
        <f>IF(Biometria!G201=0,"",Biometria!G201)</f>
        <v/>
      </c>
      <c r="H191" s="62" t="str">
        <f>IF(Biometria!H201=0,"",Biometria!H201)</f>
        <v/>
      </c>
      <c r="I191" s="62" t="str">
        <f>IF(Biometria!I201=0,"",Biometria!I201)</f>
        <v/>
      </c>
      <c r="J191" s="62" t="str">
        <f>IF(Biometria!J201=0,"",Biometria!J201)</f>
        <v/>
      </c>
      <c r="K191" s="62" t="str">
        <f>IF(Biometria!K201=0,"",Biometria!K201)</f>
        <v/>
      </c>
    </row>
    <row r="192" spans="1:11" x14ac:dyDescent="0.25">
      <c r="A192" s="62" t="str">
        <f>IF(LEN(B191)&gt;0,Biometria!A202,"")</f>
        <v/>
      </c>
      <c r="B192" s="62" t="str">
        <f>IF(LEN(Biometria!B202)=0,"",Biometria!B202)</f>
        <v/>
      </c>
      <c r="C192" s="62" t="str">
        <f>IF(Biometria!C202=0,"",Biometria!C202)</f>
        <v/>
      </c>
      <c r="D192" s="62" t="str">
        <f>IF(Biometria!D202=0,"",Biometria!D202)</f>
        <v/>
      </c>
      <c r="E192" s="62" t="str">
        <f>IF(Biometria!E202=0,"",Biometria!E202)</f>
        <v/>
      </c>
      <c r="F192" s="62" t="str">
        <f>IF(Biometria!F202=0,"",Biometria!F202)</f>
        <v/>
      </c>
      <c r="G192" s="62" t="str">
        <f>IF(Biometria!G202=0,"",Biometria!G202)</f>
        <v/>
      </c>
      <c r="H192" s="62" t="str">
        <f>IF(Biometria!H202=0,"",Biometria!H202)</f>
        <v/>
      </c>
      <c r="I192" s="62" t="str">
        <f>IF(Biometria!I202=0,"",Biometria!I202)</f>
        <v/>
      </c>
      <c r="J192" s="62" t="str">
        <f>IF(Biometria!J202=0,"",Biometria!J202)</f>
        <v/>
      </c>
      <c r="K192" s="62" t="str">
        <f>IF(Biometria!K202=0,"",Biometria!K202)</f>
        <v/>
      </c>
    </row>
    <row r="193" spans="1:11" x14ac:dyDescent="0.25">
      <c r="A193" s="62" t="str">
        <f>IF(LEN(B192)&gt;0,Biometria!A203,"")</f>
        <v/>
      </c>
      <c r="B193" s="62" t="str">
        <f>IF(LEN(Biometria!B203)=0,"",Biometria!B203)</f>
        <v/>
      </c>
      <c r="C193" s="62" t="str">
        <f>IF(Biometria!C203=0,"",Biometria!C203)</f>
        <v/>
      </c>
      <c r="D193" s="62" t="str">
        <f>IF(Biometria!D203=0,"",Biometria!D203)</f>
        <v/>
      </c>
      <c r="E193" s="62" t="str">
        <f>IF(Biometria!E203=0,"",Biometria!E203)</f>
        <v/>
      </c>
      <c r="F193" s="62" t="str">
        <f>IF(Biometria!F203=0,"",Biometria!F203)</f>
        <v/>
      </c>
      <c r="G193" s="62" t="str">
        <f>IF(Biometria!G203=0,"",Biometria!G203)</f>
        <v/>
      </c>
      <c r="H193" s="62" t="str">
        <f>IF(Biometria!H203=0,"",Biometria!H203)</f>
        <v/>
      </c>
      <c r="I193" s="62" t="str">
        <f>IF(Biometria!I203=0,"",Biometria!I203)</f>
        <v/>
      </c>
      <c r="J193" s="62" t="str">
        <f>IF(Biometria!J203=0,"",Biometria!J203)</f>
        <v/>
      </c>
      <c r="K193" s="62" t="str">
        <f>IF(Biometria!K203=0,"",Biometria!K203)</f>
        <v/>
      </c>
    </row>
    <row r="194" spans="1:11" x14ac:dyDescent="0.25">
      <c r="A194" s="62" t="str">
        <f>IF(LEN(B193)&gt;0,Biometria!A204,"")</f>
        <v/>
      </c>
      <c r="B194" s="62" t="str">
        <f>IF(LEN(Biometria!B204)=0,"",Biometria!B204)</f>
        <v/>
      </c>
      <c r="C194" s="62" t="str">
        <f>IF(Biometria!C204=0,"",Biometria!C204)</f>
        <v/>
      </c>
      <c r="D194" s="62" t="str">
        <f>IF(Biometria!D204=0,"",Biometria!D204)</f>
        <v/>
      </c>
      <c r="E194" s="62" t="str">
        <f>IF(Biometria!E204=0,"",Biometria!E204)</f>
        <v/>
      </c>
      <c r="F194" s="62" t="str">
        <f>IF(Biometria!F204=0,"",Biometria!F204)</f>
        <v/>
      </c>
      <c r="G194" s="62" t="str">
        <f>IF(Biometria!G204=0,"",Biometria!G204)</f>
        <v/>
      </c>
      <c r="H194" s="62" t="str">
        <f>IF(Biometria!H204=0,"",Biometria!H204)</f>
        <v/>
      </c>
      <c r="I194" s="62" t="str">
        <f>IF(Biometria!I204=0,"",Biometria!I204)</f>
        <v/>
      </c>
      <c r="J194" s="62" t="str">
        <f>IF(Biometria!J204=0,"",Biometria!J204)</f>
        <v/>
      </c>
      <c r="K194" s="62" t="str">
        <f>IF(Biometria!K204=0,"",Biometria!K204)</f>
        <v/>
      </c>
    </row>
    <row r="195" spans="1:11" x14ac:dyDescent="0.25">
      <c r="A195" s="62" t="str">
        <f>IF(LEN(B194)&gt;0,Biometria!A205,"")</f>
        <v/>
      </c>
      <c r="B195" s="62" t="str">
        <f>IF(LEN(Biometria!B205)=0,"",Biometria!B205)</f>
        <v/>
      </c>
      <c r="C195" s="62" t="str">
        <f>IF(Biometria!C205=0,"",Biometria!C205)</f>
        <v/>
      </c>
      <c r="D195" s="62" t="str">
        <f>IF(Biometria!D205=0,"",Biometria!D205)</f>
        <v/>
      </c>
      <c r="E195" s="62" t="str">
        <f>IF(Biometria!E205=0,"",Biometria!E205)</f>
        <v/>
      </c>
      <c r="F195" s="62" t="str">
        <f>IF(Biometria!F205=0,"",Biometria!F205)</f>
        <v/>
      </c>
      <c r="G195" s="62" t="str">
        <f>IF(Biometria!G205=0,"",Biometria!G205)</f>
        <v/>
      </c>
      <c r="H195" s="62" t="str">
        <f>IF(Biometria!H205=0,"",Biometria!H205)</f>
        <v/>
      </c>
      <c r="I195" s="62" t="str">
        <f>IF(Biometria!I205=0,"",Biometria!I205)</f>
        <v/>
      </c>
      <c r="J195" s="62" t="str">
        <f>IF(Biometria!J205=0,"",Biometria!J205)</f>
        <v/>
      </c>
      <c r="K195" s="62" t="str">
        <f>IF(Biometria!K205=0,"",Biometria!K205)</f>
        <v/>
      </c>
    </row>
    <row r="196" spans="1:11" x14ac:dyDescent="0.25">
      <c r="A196" s="62" t="str">
        <f>IF(LEN(B195)&gt;0,Biometria!A206,"")</f>
        <v/>
      </c>
      <c r="B196" s="62" t="str">
        <f>IF(LEN(Biometria!B206)=0,"",Biometria!B206)</f>
        <v/>
      </c>
      <c r="C196" s="62" t="str">
        <f>IF(Biometria!C206=0,"",Biometria!C206)</f>
        <v/>
      </c>
      <c r="D196" s="62" t="str">
        <f>IF(Biometria!D206=0,"",Biometria!D206)</f>
        <v/>
      </c>
      <c r="E196" s="62" t="str">
        <f>IF(Biometria!E206=0,"",Biometria!E206)</f>
        <v/>
      </c>
      <c r="F196" s="62" t="str">
        <f>IF(Biometria!F206=0,"",Biometria!F206)</f>
        <v/>
      </c>
      <c r="G196" s="62" t="str">
        <f>IF(Biometria!G206=0,"",Biometria!G206)</f>
        <v/>
      </c>
      <c r="H196" s="62" t="str">
        <f>IF(Biometria!H206=0,"",Biometria!H206)</f>
        <v/>
      </c>
      <c r="I196" s="62" t="str">
        <f>IF(Biometria!I206=0,"",Biometria!I206)</f>
        <v/>
      </c>
      <c r="J196" s="62" t="str">
        <f>IF(Biometria!J206=0,"",Biometria!J206)</f>
        <v/>
      </c>
      <c r="K196" s="62" t="str">
        <f>IF(Biometria!K206=0,"",Biometria!K206)</f>
        <v/>
      </c>
    </row>
    <row r="197" spans="1:11" x14ac:dyDescent="0.25">
      <c r="A197" s="62" t="str">
        <f>IF(LEN(B196)&gt;0,Biometria!A207,"")</f>
        <v/>
      </c>
      <c r="B197" s="62" t="str">
        <f>IF(LEN(Biometria!B207)=0,"",Biometria!B207)</f>
        <v/>
      </c>
      <c r="C197" s="62" t="str">
        <f>IF(Biometria!C207=0,"",Biometria!C207)</f>
        <v/>
      </c>
      <c r="D197" s="62" t="str">
        <f>IF(Biometria!D207=0,"",Biometria!D207)</f>
        <v/>
      </c>
      <c r="E197" s="62" t="str">
        <f>IF(Biometria!E207=0,"",Biometria!E207)</f>
        <v/>
      </c>
      <c r="F197" s="62" t="str">
        <f>IF(Biometria!F207=0,"",Biometria!F207)</f>
        <v/>
      </c>
      <c r="G197" s="62" t="str">
        <f>IF(Biometria!G207=0,"",Biometria!G207)</f>
        <v/>
      </c>
      <c r="H197" s="62" t="str">
        <f>IF(Biometria!H207=0,"",Biometria!H207)</f>
        <v/>
      </c>
      <c r="I197" s="62" t="str">
        <f>IF(Biometria!I207=0,"",Biometria!I207)</f>
        <v/>
      </c>
      <c r="J197" s="62" t="str">
        <f>IF(Biometria!J207=0,"",Biometria!J207)</f>
        <v/>
      </c>
      <c r="K197" s="62" t="str">
        <f>IF(Biometria!K207=0,"",Biometria!K207)</f>
        <v/>
      </c>
    </row>
    <row r="198" spans="1:11" x14ac:dyDescent="0.25">
      <c r="A198" s="62" t="str">
        <f>IF(LEN(B197)&gt;0,Biometria!A208,"")</f>
        <v/>
      </c>
      <c r="B198" s="62" t="str">
        <f>IF(LEN(Biometria!B208)=0,"",Biometria!B208)</f>
        <v/>
      </c>
      <c r="C198" s="62" t="str">
        <f>IF(Biometria!C208=0,"",Biometria!C208)</f>
        <v/>
      </c>
      <c r="D198" s="62" t="str">
        <f>IF(Biometria!D208=0,"",Biometria!D208)</f>
        <v/>
      </c>
      <c r="E198" s="62" t="str">
        <f>IF(Biometria!E208=0,"",Biometria!E208)</f>
        <v/>
      </c>
      <c r="F198" s="62" t="str">
        <f>IF(Biometria!F208=0,"",Biometria!F208)</f>
        <v/>
      </c>
      <c r="G198" s="62" t="str">
        <f>IF(Biometria!G208=0,"",Biometria!G208)</f>
        <v/>
      </c>
      <c r="H198" s="62" t="str">
        <f>IF(Biometria!H208=0,"",Biometria!H208)</f>
        <v/>
      </c>
      <c r="I198" s="62" t="str">
        <f>IF(Biometria!I208=0,"",Biometria!I208)</f>
        <v/>
      </c>
      <c r="J198" s="62" t="str">
        <f>IF(Biometria!J208=0,"",Biometria!J208)</f>
        <v/>
      </c>
      <c r="K198" s="62" t="str">
        <f>IF(Biometria!K208=0,"",Biometria!K208)</f>
        <v/>
      </c>
    </row>
    <row r="199" spans="1:11" x14ac:dyDescent="0.25">
      <c r="A199" s="62" t="str">
        <f>IF(LEN(B198)&gt;0,Biometria!A209,"")</f>
        <v/>
      </c>
      <c r="B199" s="62" t="str">
        <f>IF(LEN(Biometria!B209)=0,"",Biometria!B209)</f>
        <v/>
      </c>
      <c r="C199" s="62" t="str">
        <f>IF(Biometria!C209=0,"",Biometria!C209)</f>
        <v/>
      </c>
      <c r="D199" s="62" t="str">
        <f>IF(Biometria!D209=0,"",Biometria!D209)</f>
        <v/>
      </c>
      <c r="E199" s="62" t="str">
        <f>IF(Biometria!E209=0,"",Biometria!E209)</f>
        <v/>
      </c>
      <c r="F199" s="62" t="str">
        <f>IF(Biometria!F209=0,"",Biometria!F209)</f>
        <v/>
      </c>
      <c r="G199" s="62" t="str">
        <f>IF(Biometria!G209=0,"",Biometria!G209)</f>
        <v/>
      </c>
      <c r="H199" s="62" t="str">
        <f>IF(Biometria!H209=0,"",Biometria!H209)</f>
        <v/>
      </c>
      <c r="I199" s="62" t="str">
        <f>IF(Biometria!I209=0,"",Biometria!I209)</f>
        <v/>
      </c>
      <c r="J199" s="62" t="str">
        <f>IF(Biometria!J209=0,"",Biometria!J209)</f>
        <v/>
      </c>
      <c r="K199" s="62" t="str">
        <f>IF(Biometria!K209=0,"",Biometria!K209)</f>
        <v/>
      </c>
    </row>
    <row r="200" spans="1:11" x14ac:dyDescent="0.25">
      <c r="A200" s="62" t="str">
        <f>IF(LEN(B199)&gt;0,Biometria!A210,"")</f>
        <v/>
      </c>
      <c r="B200" s="62" t="str">
        <f>IF(LEN(Biometria!B210)=0,"",Biometria!B210)</f>
        <v/>
      </c>
      <c r="C200" s="62" t="str">
        <f>IF(Biometria!C210=0,"",Biometria!C210)</f>
        <v/>
      </c>
      <c r="D200" s="62" t="str">
        <f>IF(Biometria!D210=0,"",Biometria!D210)</f>
        <v/>
      </c>
      <c r="E200" s="62" t="str">
        <f>IF(Biometria!E210=0,"",Biometria!E210)</f>
        <v/>
      </c>
      <c r="F200" s="62" t="str">
        <f>IF(Biometria!F210=0,"",Biometria!F210)</f>
        <v/>
      </c>
      <c r="G200" s="62" t="str">
        <f>IF(Biometria!G210=0,"",Biometria!G210)</f>
        <v/>
      </c>
      <c r="H200" s="62" t="str">
        <f>IF(Biometria!H210=0,"",Biometria!H210)</f>
        <v/>
      </c>
      <c r="I200" s="62" t="str">
        <f>IF(Biometria!I210=0,"",Biometria!I210)</f>
        <v/>
      </c>
      <c r="J200" s="62" t="str">
        <f>IF(Biometria!J210=0,"",Biometria!J210)</f>
        <v/>
      </c>
      <c r="K200" s="62" t="str">
        <f>IF(Biometria!K210=0,"",Biometria!K210)</f>
        <v/>
      </c>
    </row>
    <row r="201" spans="1:11" x14ac:dyDescent="0.25">
      <c r="A201" s="62" t="str">
        <f>IF(LEN(B200)&gt;0,Biometria!A211,"")</f>
        <v/>
      </c>
      <c r="B201" s="62" t="str">
        <f>IF(LEN(Biometria!B211)=0,"",Biometria!B211)</f>
        <v/>
      </c>
      <c r="C201" s="62" t="str">
        <f>IF(Biometria!C211=0,"",Biometria!C211)</f>
        <v/>
      </c>
      <c r="D201" s="62" t="str">
        <f>IF(Biometria!D211=0,"",Biometria!D211)</f>
        <v/>
      </c>
      <c r="E201" s="62" t="str">
        <f>IF(Biometria!E211=0,"",Biometria!E211)</f>
        <v/>
      </c>
      <c r="F201" s="62" t="str">
        <f>IF(Biometria!F211=0,"",Biometria!F211)</f>
        <v/>
      </c>
      <c r="G201" s="62" t="str">
        <f>IF(Biometria!G211=0,"",Biometria!G211)</f>
        <v/>
      </c>
      <c r="H201" s="62" t="str">
        <f>IF(Biometria!H211=0,"",Biometria!H211)</f>
        <v/>
      </c>
      <c r="I201" s="62" t="str">
        <f>IF(Biometria!I211=0,"",Biometria!I211)</f>
        <v/>
      </c>
      <c r="J201" s="62" t="str">
        <f>IF(Biometria!J211=0,"",Biometria!J211)</f>
        <v/>
      </c>
      <c r="K201" s="62" t="str">
        <f>IF(Biometria!K211=0,"",Biometria!K211)</f>
        <v/>
      </c>
    </row>
    <row r="202" spans="1:11" x14ac:dyDescent="0.25">
      <c r="A202" s="62" t="str">
        <f>IF(LEN(B201)&gt;0,Biometria!A212,"")</f>
        <v/>
      </c>
      <c r="B202" s="62" t="str">
        <f>IF(LEN(Biometria!B212)=0,"",Biometria!B212)</f>
        <v/>
      </c>
      <c r="C202" s="62" t="str">
        <f>IF(Biometria!C212=0,"",Biometria!C212)</f>
        <v/>
      </c>
      <c r="D202" s="62" t="str">
        <f>IF(Biometria!D212=0,"",Biometria!D212)</f>
        <v/>
      </c>
      <c r="E202" s="62" t="str">
        <f>IF(Biometria!E212=0,"",Biometria!E212)</f>
        <v/>
      </c>
      <c r="F202" s="62" t="str">
        <f>IF(Biometria!F212=0,"",Biometria!F212)</f>
        <v/>
      </c>
      <c r="G202" s="62" t="str">
        <f>IF(Biometria!G212=0,"",Biometria!G212)</f>
        <v/>
      </c>
      <c r="H202" s="62" t="str">
        <f>IF(Biometria!H212=0,"",Biometria!H212)</f>
        <v/>
      </c>
      <c r="I202" s="62" t="str">
        <f>IF(Biometria!I212=0,"",Biometria!I212)</f>
        <v/>
      </c>
      <c r="J202" s="62" t="str">
        <f>IF(Biometria!J212=0,"",Biometria!J212)</f>
        <v/>
      </c>
      <c r="K202" s="62" t="str">
        <f>IF(Biometria!K212=0,"",Biometria!K212)</f>
        <v/>
      </c>
    </row>
    <row r="203" spans="1:11" x14ac:dyDescent="0.25">
      <c r="A203" s="62" t="str">
        <f>IF(LEN(B202)&gt;0,Biometria!A213,"")</f>
        <v/>
      </c>
      <c r="B203" s="62" t="str">
        <f>IF(LEN(Biometria!B213)=0,"",Biometria!B213)</f>
        <v/>
      </c>
      <c r="C203" s="62" t="str">
        <f>IF(Biometria!C213=0,"",Biometria!C213)</f>
        <v/>
      </c>
      <c r="D203" s="62" t="str">
        <f>IF(Biometria!D213=0,"",Biometria!D213)</f>
        <v/>
      </c>
      <c r="E203" s="62" t="str">
        <f>IF(Biometria!E213=0,"",Biometria!E213)</f>
        <v/>
      </c>
      <c r="F203" s="62" t="str">
        <f>IF(Biometria!F213=0,"",Biometria!F213)</f>
        <v/>
      </c>
      <c r="G203" s="62" t="str">
        <f>IF(Biometria!G213=0,"",Biometria!G213)</f>
        <v/>
      </c>
      <c r="H203" s="62" t="str">
        <f>IF(Biometria!H213=0,"",Biometria!H213)</f>
        <v/>
      </c>
      <c r="I203" s="62" t="str">
        <f>IF(Biometria!I213=0,"",Biometria!I213)</f>
        <v/>
      </c>
      <c r="J203" s="62" t="str">
        <f>IF(Biometria!J213=0,"",Biometria!J213)</f>
        <v/>
      </c>
      <c r="K203" s="62" t="str">
        <f>IF(Biometria!K213=0,"",Biometria!K213)</f>
        <v/>
      </c>
    </row>
    <row r="204" spans="1:11" x14ac:dyDescent="0.25">
      <c r="A204" s="62" t="str">
        <f>IF(LEN(B203)&gt;0,Biometria!A214,"")</f>
        <v/>
      </c>
      <c r="B204" s="62" t="str">
        <f>IF(LEN(Biometria!B214)=0,"",Biometria!B214)</f>
        <v/>
      </c>
      <c r="C204" s="62" t="str">
        <f>IF(Biometria!C214=0,"",Biometria!C214)</f>
        <v/>
      </c>
      <c r="D204" s="62" t="str">
        <f>IF(Biometria!D214=0,"",Biometria!D214)</f>
        <v/>
      </c>
      <c r="E204" s="62" t="str">
        <f>IF(Biometria!E214=0,"",Biometria!E214)</f>
        <v/>
      </c>
      <c r="F204" s="62" t="str">
        <f>IF(Biometria!F214=0,"",Biometria!F214)</f>
        <v/>
      </c>
      <c r="G204" s="62" t="str">
        <f>IF(Biometria!G214=0,"",Biometria!G214)</f>
        <v/>
      </c>
      <c r="H204" s="62" t="str">
        <f>IF(Biometria!H214=0,"",Biometria!H214)</f>
        <v/>
      </c>
      <c r="I204" s="62" t="str">
        <f>IF(Biometria!I214=0,"",Biometria!I214)</f>
        <v/>
      </c>
      <c r="J204" s="62" t="str">
        <f>IF(Biometria!J214=0,"",Biometria!J214)</f>
        <v/>
      </c>
      <c r="K204" s="62" t="str">
        <f>IF(Biometria!K214=0,"",Biometria!K214)</f>
        <v/>
      </c>
    </row>
    <row r="205" spans="1:11" x14ac:dyDescent="0.25">
      <c r="A205" s="62" t="str">
        <f>IF(LEN(B204)&gt;0,Biometria!A215,"")</f>
        <v/>
      </c>
      <c r="B205" s="62" t="str">
        <f>IF(LEN(Biometria!B215)=0,"",Biometria!B215)</f>
        <v/>
      </c>
      <c r="C205" s="62" t="str">
        <f>IF(Biometria!C215=0,"",Biometria!C215)</f>
        <v/>
      </c>
      <c r="D205" s="62" t="str">
        <f>IF(Biometria!D215=0,"",Biometria!D215)</f>
        <v/>
      </c>
      <c r="E205" s="62" t="str">
        <f>IF(Biometria!E215=0,"",Biometria!E215)</f>
        <v/>
      </c>
      <c r="F205" s="62" t="str">
        <f>IF(Biometria!F215=0,"",Biometria!F215)</f>
        <v/>
      </c>
      <c r="G205" s="62" t="str">
        <f>IF(Biometria!G215=0,"",Biometria!G215)</f>
        <v/>
      </c>
      <c r="H205" s="62" t="str">
        <f>IF(Biometria!H215=0,"",Biometria!H215)</f>
        <v/>
      </c>
      <c r="I205" s="62" t="str">
        <f>IF(Biometria!I215=0,"",Biometria!I215)</f>
        <v/>
      </c>
      <c r="J205" s="62" t="str">
        <f>IF(Biometria!J215=0,"",Biometria!J215)</f>
        <v/>
      </c>
      <c r="K205" s="62" t="str">
        <f>IF(Biometria!K215=0,"",Biometria!K215)</f>
        <v/>
      </c>
    </row>
    <row r="206" spans="1:11" x14ac:dyDescent="0.25">
      <c r="A206" s="62" t="str">
        <f>IF(LEN(B205)&gt;0,Biometria!A216,"")</f>
        <v/>
      </c>
      <c r="B206" s="62" t="str">
        <f>IF(LEN(Biometria!B216)=0,"",Biometria!B216)</f>
        <v/>
      </c>
      <c r="C206" s="62" t="str">
        <f>IF(Biometria!C216=0,"",Biometria!C216)</f>
        <v/>
      </c>
      <c r="D206" s="62" t="str">
        <f>IF(Biometria!D216=0,"",Biometria!D216)</f>
        <v/>
      </c>
      <c r="E206" s="62" t="str">
        <f>IF(Biometria!E216=0,"",Biometria!E216)</f>
        <v/>
      </c>
      <c r="F206" s="62" t="str">
        <f>IF(Biometria!F216=0,"",Biometria!F216)</f>
        <v/>
      </c>
      <c r="G206" s="62" t="str">
        <f>IF(Biometria!G216=0,"",Biometria!G216)</f>
        <v/>
      </c>
      <c r="H206" s="62" t="str">
        <f>IF(Biometria!H216=0,"",Biometria!H216)</f>
        <v/>
      </c>
      <c r="I206" s="62" t="str">
        <f>IF(Biometria!I216=0,"",Biometria!I216)</f>
        <v/>
      </c>
      <c r="J206" s="62" t="str">
        <f>IF(Biometria!J216=0,"",Biometria!J216)</f>
        <v/>
      </c>
      <c r="K206" s="62" t="str">
        <f>IF(Biometria!K216=0,"",Biometria!K216)</f>
        <v/>
      </c>
    </row>
    <row r="207" spans="1:11" x14ac:dyDescent="0.25">
      <c r="A207" s="62" t="str">
        <f>IF(LEN(B206)&gt;0,Biometria!A217,"")</f>
        <v/>
      </c>
      <c r="B207" s="62" t="str">
        <f>IF(LEN(Biometria!B217)=0,"",Biometria!B217)</f>
        <v/>
      </c>
      <c r="C207" s="62" t="str">
        <f>IF(Biometria!C217=0,"",Biometria!C217)</f>
        <v/>
      </c>
      <c r="D207" s="62" t="str">
        <f>IF(Biometria!D217=0,"",Biometria!D217)</f>
        <v/>
      </c>
      <c r="E207" s="62" t="str">
        <f>IF(Biometria!E217=0,"",Biometria!E217)</f>
        <v/>
      </c>
      <c r="F207" s="62" t="str">
        <f>IF(Biometria!F217=0,"",Biometria!F217)</f>
        <v/>
      </c>
      <c r="G207" s="62" t="str">
        <f>IF(Biometria!G217=0,"",Biometria!G217)</f>
        <v/>
      </c>
      <c r="H207" s="62" t="str">
        <f>IF(Biometria!H217=0,"",Biometria!H217)</f>
        <v/>
      </c>
      <c r="I207" s="62" t="str">
        <f>IF(Biometria!I217=0,"",Biometria!I217)</f>
        <v/>
      </c>
      <c r="J207" s="62" t="str">
        <f>IF(Biometria!J217=0,"",Biometria!J217)</f>
        <v/>
      </c>
      <c r="K207" s="62" t="str">
        <f>IF(Biometria!K217=0,"",Biometria!K217)</f>
        <v/>
      </c>
    </row>
    <row r="208" spans="1:11" x14ac:dyDescent="0.25">
      <c r="A208" s="62" t="str">
        <f>IF(LEN(B207)&gt;0,Biometria!A218,"")</f>
        <v/>
      </c>
      <c r="B208" s="62" t="str">
        <f>IF(LEN(Biometria!B218)=0,"",Biometria!B218)</f>
        <v/>
      </c>
      <c r="C208" s="62" t="str">
        <f>IF(Biometria!C218=0,"",Biometria!C218)</f>
        <v/>
      </c>
      <c r="D208" s="62" t="str">
        <f>IF(Biometria!D218=0,"",Biometria!D218)</f>
        <v/>
      </c>
      <c r="E208" s="62" t="str">
        <f>IF(Biometria!E218=0,"",Biometria!E218)</f>
        <v/>
      </c>
      <c r="F208" s="62" t="str">
        <f>IF(Biometria!F218=0,"",Biometria!F218)</f>
        <v/>
      </c>
      <c r="G208" s="62" t="str">
        <f>IF(Biometria!G218=0,"",Biometria!G218)</f>
        <v/>
      </c>
      <c r="H208" s="62" t="str">
        <f>IF(Biometria!H218=0,"",Biometria!H218)</f>
        <v/>
      </c>
      <c r="I208" s="62" t="str">
        <f>IF(Biometria!I218=0,"",Biometria!I218)</f>
        <v/>
      </c>
      <c r="J208" s="62" t="str">
        <f>IF(Biometria!J218=0,"",Biometria!J218)</f>
        <v/>
      </c>
      <c r="K208" s="62" t="str">
        <f>IF(Biometria!K218=0,"",Biometria!K218)</f>
        <v/>
      </c>
    </row>
    <row r="209" spans="1:11" x14ac:dyDescent="0.25">
      <c r="A209" s="62" t="str">
        <f>IF(LEN(B208)&gt;0,Biometria!A219,"")</f>
        <v/>
      </c>
      <c r="B209" s="62" t="str">
        <f>IF(LEN(Biometria!B219)=0,"",Biometria!B219)</f>
        <v/>
      </c>
      <c r="C209" s="62" t="str">
        <f>IF(Biometria!C219=0,"",Biometria!C219)</f>
        <v/>
      </c>
      <c r="D209" s="62" t="str">
        <f>IF(Biometria!D219=0,"",Biometria!D219)</f>
        <v/>
      </c>
      <c r="E209" s="62" t="str">
        <f>IF(Biometria!E219=0,"",Biometria!E219)</f>
        <v/>
      </c>
      <c r="F209" s="62" t="str">
        <f>IF(Biometria!F219=0,"",Biometria!F219)</f>
        <v/>
      </c>
      <c r="G209" s="62" t="str">
        <f>IF(Biometria!G219=0,"",Biometria!G219)</f>
        <v/>
      </c>
      <c r="H209" s="62" t="str">
        <f>IF(Biometria!H219=0,"",Biometria!H219)</f>
        <v/>
      </c>
      <c r="I209" s="62" t="str">
        <f>IF(Biometria!I219=0,"",Biometria!I219)</f>
        <v/>
      </c>
      <c r="J209" s="62" t="str">
        <f>IF(Biometria!J219=0,"",Biometria!J219)</f>
        <v/>
      </c>
      <c r="K209" s="62" t="str">
        <f>IF(Biometria!K219=0,"",Biometria!K219)</f>
        <v/>
      </c>
    </row>
    <row r="210" spans="1:11" x14ac:dyDescent="0.25">
      <c r="A210" s="62" t="str">
        <f>IF(LEN(B209)&gt;0,Biometria!A220,"")</f>
        <v/>
      </c>
      <c r="B210" s="62" t="str">
        <f>IF(LEN(Biometria!B220)=0,"",Biometria!B220)</f>
        <v/>
      </c>
      <c r="C210" s="62" t="str">
        <f>IF(Biometria!C220=0,"",Biometria!C220)</f>
        <v/>
      </c>
      <c r="D210" s="62" t="str">
        <f>IF(Biometria!D220=0,"",Biometria!D220)</f>
        <v/>
      </c>
      <c r="E210" s="62" t="str">
        <f>IF(Biometria!E220=0,"",Biometria!E220)</f>
        <v/>
      </c>
      <c r="F210" s="62" t="str">
        <f>IF(Biometria!F220=0,"",Biometria!F220)</f>
        <v/>
      </c>
      <c r="G210" s="62" t="str">
        <f>IF(Biometria!G220=0,"",Biometria!G220)</f>
        <v/>
      </c>
      <c r="H210" s="62" t="str">
        <f>IF(Biometria!H220=0,"",Biometria!H220)</f>
        <v/>
      </c>
      <c r="I210" s="62" t="str">
        <f>IF(Biometria!I220=0,"",Biometria!I220)</f>
        <v/>
      </c>
      <c r="J210" s="62" t="str">
        <f>IF(Biometria!J220=0,"",Biometria!J220)</f>
        <v/>
      </c>
      <c r="K210" s="62" t="str">
        <f>IF(Biometria!K220=0,"",Biometria!K220)</f>
        <v/>
      </c>
    </row>
    <row r="211" spans="1:11" x14ac:dyDescent="0.25">
      <c r="A211" s="62" t="str">
        <f>IF(LEN(B210)&gt;0,Biometria!A221,"")</f>
        <v/>
      </c>
      <c r="B211" s="62" t="str">
        <f>IF(LEN(Biometria!B221)=0,"",Biometria!B221)</f>
        <v/>
      </c>
      <c r="C211" s="62" t="str">
        <f>IF(Biometria!C221=0,"",Biometria!C221)</f>
        <v/>
      </c>
      <c r="D211" s="62" t="str">
        <f>IF(Biometria!D221=0,"",Biometria!D221)</f>
        <v/>
      </c>
      <c r="E211" s="62" t="str">
        <f>IF(Biometria!E221=0,"",Biometria!E221)</f>
        <v/>
      </c>
      <c r="F211" s="62" t="str">
        <f>IF(Biometria!F221=0,"",Biometria!F221)</f>
        <v/>
      </c>
      <c r="G211" s="62" t="str">
        <f>IF(Biometria!G221=0,"",Biometria!G221)</f>
        <v/>
      </c>
      <c r="H211" s="62" t="str">
        <f>IF(Biometria!H221=0,"",Biometria!H221)</f>
        <v/>
      </c>
      <c r="I211" s="62" t="str">
        <f>IF(Biometria!I221=0,"",Biometria!I221)</f>
        <v/>
      </c>
      <c r="J211" s="62" t="str">
        <f>IF(Biometria!J221=0,"",Biometria!J221)</f>
        <v/>
      </c>
      <c r="K211" s="62" t="str">
        <f>IF(Biometria!K221=0,"",Biometria!K221)</f>
        <v/>
      </c>
    </row>
    <row r="212" spans="1:11" x14ac:dyDescent="0.25">
      <c r="A212" s="62" t="str">
        <f>IF(LEN(B211)&gt;0,Biometria!A222,"")</f>
        <v/>
      </c>
      <c r="B212" s="62" t="str">
        <f>IF(LEN(Biometria!B222)=0,"",Biometria!B222)</f>
        <v/>
      </c>
      <c r="C212" s="62" t="str">
        <f>IF(Biometria!C222=0,"",Biometria!C222)</f>
        <v/>
      </c>
      <c r="D212" s="62" t="str">
        <f>IF(Biometria!D222=0,"",Biometria!D222)</f>
        <v/>
      </c>
      <c r="E212" s="62" t="str">
        <f>IF(Biometria!E222=0,"",Biometria!E222)</f>
        <v/>
      </c>
      <c r="F212" s="62" t="str">
        <f>IF(Biometria!F222=0,"",Biometria!F222)</f>
        <v/>
      </c>
      <c r="G212" s="62" t="str">
        <f>IF(Biometria!G222=0,"",Biometria!G222)</f>
        <v/>
      </c>
      <c r="H212" s="62" t="str">
        <f>IF(Biometria!H222=0,"",Biometria!H222)</f>
        <v/>
      </c>
      <c r="I212" s="62" t="str">
        <f>IF(Biometria!I222=0,"",Biometria!I222)</f>
        <v/>
      </c>
      <c r="J212" s="62" t="str">
        <f>IF(Biometria!J222=0,"",Biometria!J222)</f>
        <v/>
      </c>
      <c r="K212" s="62" t="str">
        <f>IF(Biometria!K222=0,"",Biometria!K222)</f>
        <v/>
      </c>
    </row>
    <row r="213" spans="1:11" x14ac:dyDescent="0.25">
      <c r="A213" s="62" t="str">
        <f>IF(LEN(B212)&gt;0,Biometria!A223,"")</f>
        <v/>
      </c>
      <c r="B213" s="62" t="str">
        <f>IF(LEN(Biometria!B223)=0,"",Biometria!B223)</f>
        <v/>
      </c>
      <c r="C213" s="62" t="str">
        <f>IF(Biometria!C223=0,"",Biometria!C223)</f>
        <v/>
      </c>
      <c r="D213" s="62" t="str">
        <f>IF(Biometria!D223=0,"",Biometria!D223)</f>
        <v/>
      </c>
      <c r="E213" s="62" t="str">
        <f>IF(Biometria!E223=0,"",Biometria!E223)</f>
        <v/>
      </c>
      <c r="F213" s="62" t="str">
        <f>IF(Biometria!F223=0,"",Biometria!F223)</f>
        <v/>
      </c>
      <c r="G213" s="62" t="str">
        <f>IF(Biometria!G223=0,"",Biometria!G223)</f>
        <v/>
      </c>
      <c r="H213" s="62" t="str">
        <f>IF(Biometria!H223=0,"",Biometria!H223)</f>
        <v/>
      </c>
      <c r="I213" s="62" t="str">
        <f>IF(Biometria!I223=0,"",Biometria!I223)</f>
        <v/>
      </c>
      <c r="J213" s="62" t="str">
        <f>IF(Biometria!J223=0,"",Biometria!J223)</f>
        <v/>
      </c>
      <c r="K213" s="62" t="str">
        <f>IF(Biometria!K223=0,"",Biometria!K223)</f>
        <v/>
      </c>
    </row>
    <row r="214" spans="1:11" x14ac:dyDescent="0.25">
      <c r="A214" s="62" t="str">
        <f>IF(LEN(B213)&gt;0,Biometria!A224,"")</f>
        <v/>
      </c>
      <c r="B214" s="62" t="str">
        <f>IF(LEN(Biometria!B224)=0,"",Biometria!B224)</f>
        <v/>
      </c>
      <c r="C214" s="62" t="str">
        <f>IF(Biometria!C224=0,"",Biometria!C224)</f>
        <v/>
      </c>
      <c r="D214" s="62" t="str">
        <f>IF(Biometria!D224=0,"",Biometria!D224)</f>
        <v/>
      </c>
      <c r="E214" s="62" t="str">
        <f>IF(Biometria!E224=0,"",Biometria!E224)</f>
        <v/>
      </c>
      <c r="F214" s="62" t="str">
        <f>IF(Biometria!F224=0,"",Biometria!F224)</f>
        <v/>
      </c>
      <c r="G214" s="62" t="str">
        <f>IF(Biometria!G224=0,"",Biometria!G224)</f>
        <v/>
      </c>
      <c r="H214" s="62" t="str">
        <f>IF(Biometria!H224=0,"",Biometria!H224)</f>
        <v/>
      </c>
      <c r="I214" s="62" t="str">
        <f>IF(Biometria!I224=0,"",Biometria!I224)</f>
        <v/>
      </c>
      <c r="J214" s="62" t="str">
        <f>IF(Biometria!J224=0,"",Biometria!J224)</f>
        <v/>
      </c>
      <c r="K214" s="62" t="str">
        <f>IF(Biometria!K224=0,"",Biometria!K224)</f>
        <v/>
      </c>
    </row>
    <row r="215" spans="1:11" x14ac:dyDescent="0.25">
      <c r="A215" s="62" t="str">
        <f>IF(LEN(B214)&gt;0,Biometria!A225,"")</f>
        <v/>
      </c>
      <c r="B215" s="62" t="str">
        <f>IF(LEN(Biometria!B225)=0,"",Biometria!B225)</f>
        <v/>
      </c>
      <c r="C215" s="62" t="str">
        <f>IF(Biometria!C225=0,"",Biometria!C225)</f>
        <v/>
      </c>
      <c r="D215" s="62" t="str">
        <f>IF(Biometria!D225=0,"",Biometria!D225)</f>
        <v/>
      </c>
      <c r="E215" s="62" t="str">
        <f>IF(Biometria!E225=0,"",Biometria!E225)</f>
        <v/>
      </c>
      <c r="F215" s="62" t="str">
        <f>IF(Biometria!F225=0,"",Biometria!F225)</f>
        <v/>
      </c>
      <c r="G215" s="62" t="str">
        <f>IF(Biometria!G225=0,"",Biometria!G225)</f>
        <v/>
      </c>
      <c r="H215" s="62" t="str">
        <f>IF(Biometria!H225=0,"",Biometria!H225)</f>
        <v/>
      </c>
      <c r="I215" s="62" t="str">
        <f>IF(Biometria!I225=0,"",Biometria!I225)</f>
        <v/>
      </c>
      <c r="J215" s="62" t="str">
        <f>IF(Biometria!J225=0,"",Biometria!J225)</f>
        <v/>
      </c>
      <c r="K215" s="62" t="str">
        <f>IF(Biometria!K225=0,"",Biometria!K225)</f>
        <v/>
      </c>
    </row>
    <row r="216" spans="1:11" x14ac:dyDescent="0.25">
      <c r="A216" s="62" t="str">
        <f>IF(LEN(B215)&gt;0,Biometria!A226,"")</f>
        <v/>
      </c>
      <c r="B216" s="62" t="str">
        <f>IF(LEN(Biometria!B226)=0,"",Biometria!B226)</f>
        <v/>
      </c>
      <c r="C216" s="62" t="str">
        <f>IF(Biometria!C226=0,"",Biometria!C226)</f>
        <v/>
      </c>
      <c r="D216" s="62" t="str">
        <f>IF(Biometria!D226=0,"",Biometria!D226)</f>
        <v/>
      </c>
      <c r="E216" s="62" t="str">
        <f>IF(Biometria!E226=0,"",Biometria!E226)</f>
        <v/>
      </c>
      <c r="F216" s="62" t="str">
        <f>IF(Biometria!F226=0,"",Biometria!F226)</f>
        <v/>
      </c>
      <c r="G216" s="62" t="str">
        <f>IF(Biometria!G226=0,"",Biometria!G226)</f>
        <v/>
      </c>
      <c r="H216" s="62" t="str">
        <f>IF(Biometria!H226=0,"",Biometria!H226)</f>
        <v/>
      </c>
      <c r="I216" s="62" t="str">
        <f>IF(Biometria!I226=0,"",Biometria!I226)</f>
        <v/>
      </c>
      <c r="J216" s="62" t="str">
        <f>IF(Biometria!J226=0,"",Biometria!J226)</f>
        <v/>
      </c>
      <c r="K216" s="62" t="str">
        <f>IF(Biometria!K226=0,"",Biometria!K226)</f>
        <v/>
      </c>
    </row>
    <row r="217" spans="1:11" x14ac:dyDescent="0.25">
      <c r="A217" s="62" t="str">
        <f>IF(LEN(B216)&gt;0,Biometria!A227,"")</f>
        <v/>
      </c>
      <c r="B217" s="62" t="str">
        <f>IF(LEN(Biometria!B227)=0,"",Biometria!B227)</f>
        <v/>
      </c>
      <c r="C217" s="62" t="str">
        <f>IF(Biometria!C227=0,"",Biometria!C227)</f>
        <v/>
      </c>
      <c r="D217" s="62" t="str">
        <f>IF(Biometria!D227=0,"",Biometria!D227)</f>
        <v/>
      </c>
      <c r="E217" s="62" t="str">
        <f>IF(Biometria!E227=0,"",Biometria!E227)</f>
        <v/>
      </c>
      <c r="F217" s="62" t="str">
        <f>IF(Biometria!F227=0,"",Biometria!F227)</f>
        <v/>
      </c>
      <c r="G217" s="62" t="str">
        <f>IF(Biometria!G227=0,"",Biometria!G227)</f>
        <v/>
      </c>
      <c r="H217" s="62" t="str">
        <f>IF(Biometria!H227=0,"",Biometria!H227)</f>
        <v/>
      </c>
      <c r="I217" s="62" t="str">
        <f>IF(Biometria!I227=0,"",Biometria!I227)</f>
        <v/>
      </c>
      <c r="J217" s="62" t="str">
        <f>IF(Biometria!J227=0,"",Biometria!J227)</f>
        <v/>
      </c>
      <c r="K217" s="62" t="str">
        <f>IF(Biometria!K227=0,"",Biometria!K227)</f>
        <v/>
      </c>
    </row>
    <row r="218" spans="1:11" x14ac:dyDescent="0.25">
      <c r="A218" s="62" t="str">
        <f>IF(LEN(B217)&gt;0,Biometria!A228,"")</f>
        <v/>
      </c>
      <c r="B218" s="62" t="str">
        <f>IF(LEN(Biometria!B228)=0,"",Biometria!B228)</f>
        <v/>
      </c>
      <c r="C218" s="62" t="str">
        <f>IF(Biometria!C228=0,"",Biometria!C228)</f>
        <v/>
      </c>
      <c r="D218" s="62" t="str">
        <f>IF(Biometria!D228=0,"",Biometria!D228)</f>
        <v/>
      </c>
      <c r="E218" s="62" t="str">
        <f>IF(Biometria!E228=0,"",Biometria!E228)</f>
        <v/>
      </c>
      <c r="F218" s="62" t="str">
        <f>IF(Biometria!F228=0,"",Biometria!F228)</f>
        <v/>
      </c>
      <c r="G218" s="62" t="str">
        <f>IF(Biometria!G228=0,"",Biometria!G228)</f>
        <v/>
      </c>
      <c r="H218" s="62" t="str">
        <f>IF(Biometria!H228=0,"",Biometria!H228)</f>
        <v/>
      </c>
      <c r="I218" s="62" t="str">
        <f>IF(Biometria!I228=0,"",Biometria!I228)</f>
        <v/>
      </c>
      <c r="J218" s="62" t="str">
        <f>IF(Biometria!J228=0,"",Biometria!J228)</f>
        <v/>
      </c>
      <c r="K218" s="62" t="str">
        <f>IF(Biometria!K228=0,"",Biometria!K228)</f>
        <v/>
      </c>
    </row>
    <row r="219" spans="1:11" x14ac:dyDescent="0.25">
      <c r="A219" s="62" t="str">
        <f>IF(LEN(B218)&gt;0,Biometria!A229,"")</f>
        <v/>
      </c>
      <c r="B219" s="62" t="str">
        <f>IF(LEN(Biometria!B229)=0,"",Biometria!B229)</f>
        <v/>
      </c>
      <c r="C219" s="62" t="str">
        <f>IF(Biometria!C229=0,"",Biometria!C229)</f>
        <v/>
      </c>
      <c r="D219" s="62" t="str">
        <f>IF(Biometria!D229=0,"",Biometria!D229)</f>
        <v/>
      </c>
      <c r="E219" s="62" t="str">
        <f>IF(Biometria!E229=0,"",Biometria!E229)</f>
        <v/>
      </c>
      <c r="F219" s="62" t="str">
        <f>IF(Biometria!F229=0,"",Biometria!F229)</f>
        <v/>
      </c>
      <c r="G219" s="62" t="str">
        <f>IF(Biometria!G229=0,"",Biometria!G229)</f>
        <v/>
      </c>
      <c r="H219" s="62" t="str">
        <f>IF(Biometria!H229=0,"",Biometria!H229)</f>
        <v/>
      </c>
      <c r="I219" s="62" t="str">
        <f>IF(Biometria!I229=0,"",Biometria!I229)</f>
        <v/>
      </c>
      <c r="J219" s="62" t="str">
        <f>IF(Biometria!J229=0,"",Biometria!J229)</f>
        <v/>
      </c>
      <c r="K219" s="62" t="str">
        <f>IF(Biometria!K229=0,"",Biometria!K229)</f>
        <v/>
      </c>
    </row>
    <row r="220" spans="1:11" x14ac:dyDescent="0.25">
      <c r="A220" s="62" t="str">
        <f>IF(LEN(B219)&gt;0,Biometria!A230,"")</f>
        <v/>
      </c>
      <c r="B220" s="62" t="str">
        <f>IF(LEN(Biometria!B230)=0,"",Biometria!B230)</f>
        <v/>
      </c>
      <c r="C220" s="62" t="str">
        <f>IF(Biometria!C230=0,"",Biometria!C230)</f>
        <v/>
      </c>
      <c r="D220" s="62" t="str">
        <f>IF(Biometria!D230=0,"",Biometria!D230)</f>
        <v/>
      </c>
      <c r="E220" s="62" t="str">
        <f>IF(Biometria!E230=0,"",Biometria!E230)</f>
        <v/>
      </c>
      <c r="F220" s="62" t="str">
        <f>IF(Biometria!F230=0,"",Biometria!F230)</f>
        <v/>
      </c>
      <c r="G220" s="62" t="str">
        <f>IF(Biometria!G230=0,"",Biometria!G230)</f>
        <v/>
      </c>
      <c r="H220" s="62" t="str">
        <f>IF(Biometria!H230=0,"",Biometria!H230)</f>
        <v/>
      </c>
      <c r="I220" s="62" t="str">
        <f>IF(Biometria!I230=0,"",Biometria!I230)</f>
        <v/>
      </c>
      <c r="J220" s="62" t="str">
        <f>IF(Biometria!J230=0,"",Biometria!J230)</f>
        <v/>
      </c>
      <c r="K220" s="62" t="str">
        <f>IF(Biometria!K230=0,"",Biometria!K230)</f>
        <v/>
      </c>
    </row>
    <row r="221" spans="1:11" x14ac:dyDescent="0.25">
      <c r="A221" s="62" t="str">
        <f>IF(LEN(B220)&gt;0,Biometria!A231,"")</f>
        <v/>
      </c>
      <c r="B221" s="62" t="str">
        <f>IF(LEN(Biometria!B231)=0,"",Biometria!B231)</f>
        <v/>
      </c>
      <c r="C221" s="62" t="str">
        <f>IF(Biometria!C231=0,"",Biometria!C231)</f>
        <v/>
      </c>
      <c r="D221" s="62" t="str">
        <f>IF(Biometria!D231=0,"",Biometria!D231)</f>
        <v/>
      </c>
      <c r="E221" s="62" t="str">
        <f>IF(Biometria!E231=0,"",Biometria!E231)</f>
        <v/>
      </c>
      <c r="F221" s="62" t="str">
        <f>IF(Biometria!F231=0,"",Biometria!F231)</f>
        <v/>
      </c>
      <c r="G221" s="62" t="str">
        <f>IF(Biometria!G231=0,"",Biometria!G231)</f>
        <v/>
      </c>
      <c r="H221" s="62" t="str">
        <f>IF(Biometria!H231=0,"",Biometria!H231)</f>
        <v/>
      </c>
      <c r="I221" s="62" t="str">
        <f>IF(Biometria!I231=0,"",Biometria!I231)</f>
        <v/>
      </c>
      <c r="J221" s="62" t="str">
        <f>IF(Biometria!J231=0,"",Biometria!J231)</f>
        <v/>
      </c>
      <c r="K221" s="62" t="str">
        <f>IF(Biometria!K231=0,"",Biometria!K231)</f>
        <v/>
      </c>
    </row>
    <row r="222" spans="1:11" x14ac:dyDescent="0.25">
      <c r="A222" s="62" t="str">
        <f>IF(LEN(B221)&gt;0,Biometria!A232,"")</f>
        <v/>
      </c>
      <c r="B222" s="62" t="str">
        <f>IF(LEN(Biometria!B232)=0,"",Biometria!B232)</f>
        <v/>
      </c>
      <c r="C222" s="62" t="str">
        <f>IF(Biometria!C232=0,"",Biometria!C232)</f>
        <v/>
      </c>
      <c r="D222" s="62" t="str">
        <f>IF(Biometria!D232=0,"",Biometria!D232)</f>
        <v/>
      </c>
      <c r="E222" s="62" t="str">
        <f>IF(Biometria!E232=0,"",Biometria!E232)</f>
        <v/>
      </c>
      <c r="F222" s="62" t="str">
        <f>IF(Biometria!F232=0,"",Biometria!F232)</f>
        <v/>
      </c>
      <c r="G222" s="62" t="str">
        <f>IF(Biometria!G232=0,"",Biometria!G232)</f>
        <v/>
      </c>
      <c r="H222" s="62" t="str">
        <f>IF(Biometria!H232=0,"",Biometria!H232)</f>
        <v/>
      </c>
      <c r="I222" s="62" t="str">
        <f>IF(Biometria!I232=0,"",Biometria!I232)</f>
        <v/>
      </c>
      <c r="J222" s="62" t="str">
        <f>IF(Biometria!J232=0,"",Biometria!J232)</f>
        <v/>
      </c>
      <c r="K222" s="62" t="str">
        <f>IF(Biometria!K232=0,"",Biometria!K232)</f>
        <v/>
      </c>
    </row>
    <row r="223" spans="1:11" x14ac:dyDescent="0.25">
      <c r="A223" s="62" t="str">
        <f>IF(LEN(B222)&gt;0,Biometria!A233,"")</f>
        <v/>
      </c>
      <c r="B223" s="62" t="str">
        <f>IF(LEN(Biometria!B233)=0,"",Biometria!B233)</f>
        <v/>
      </c>
      <c r="C223" s="62" t="str">
        <f>IF(Biometria!C233=0,"",Biometria!C233)</f>
        <v/>
      </c>
      <c r="D223" s="62" t="str">
        <f>IF(Biometria!D233=0,"",Biometria!D233)</f>
        <v/>
      </c>
      <c r="E223" s="62" t="str">
        <f>IF(Biometria!E233=0,"",Biometria!E233)</f>
        <v/>
      </c>
      <c r="F223" s="62" t="str">
        <f>IF(Biometria!F233=0,"",Biometria!F233)</f>
        <v/>
      </c>
      <c r="G223" s="62" t="str">
        <f>IF(Biometria!G233=0,"",Biometria!G233)</f>
        <v/>
      </c>
      <c r="H223" s="62" t="str">
        <f>IF(Biometria!H233=0,"",Biometria!H233)</f>
        <v/>
      </c>
      <c r="I223" s="62" t="str">
        <f>IF(Biometria!I233=0,"",Biometria!I233)</f>
        <v/>
      </c>
      <c r="J223" s="62" t="str">
        <f>IF(Biometria!J233=0,"",Biometria!J233)</f>
        <v/>
      </c>
      <c r="K223" s="62" t="str">
        <f>IF(Biometria!K233=0,"",Biometria!K233)</f>
        <v/>
      </c>
    </row>
    <row r="224" spans="1:11" x14ac:dyDescent="0.25">
      <c r="A224" s="62" t="str">
        <f>IF(LEN(B223)&gt;0,Biometria!A234,"")</f>
        <v/>
      </c>
      <c r="B224" s="62" t="str">
        <f>IF(LEN(Biometria!B234)=0,"",Biometria!B234)</f>
        <v/>
      </c>
      <c r="C224" s="62" t="str">
        <f>IF(Biometria!C234=0,"",Biometria!C234)</f>
        <v/>
      </c>
      <c r="D224" s="62" t="str">
        <f>IF(Biometria!D234=0,"",Biometria!D234)</f>
        <v/>
      </c>
      <c r="E224" s="62" t="str">
        <f>IF(Biometria!E234=0,"",Biometria!E234)</f>
        <v/>
      </c>
      <c r="F224" s="62" t="str">
        <f>IF(Biometria!F234=0,"",Biometria!F234)</f>
        <v/>
      </c>
      <c r="G224" s="62" t="str">
        <f>IF(Biometria!G234=0,"",Biometria!G234)</f>
        <v/>
      </c>
      <c r="H224" s="62" t="str">
        <f>IF(Biometria!H234=0,"",Biometria!H234)</f>
        <v/>
      </c>
      <c r="I224" s="62" t="str">
        <f>IF(Biometria!I234=0,"",Biometria!I234)</f>
        <v/>
      </c>
      <c r="J224" s="62" t="str">
        <f>IF(Biometria!J234=0,"",Biometria!J234)</f>
        <v/>
      </c>
      <c r="K224" s="62" t="str">
        <f>IF(Biometria!K234=0,"",Biometria!K234)</f>
        <v/>
      </c>
    </row>
    <row r="225" spans="1:11" x14ac:dyDescent="0.25">
      <c r="A225" s="62" t="str">
        <f>IF(LEN(B224)&gt;0,Biometria!A235,"")</f>
        <v/>
      </c>
      <c r="B225" s="62" t="str">
        <f>IF(LEN(Biometria!B235)=0,"",Biometria!B235)</f>
        <v/>
      </c>
      <c r="C225" s="62" t="str">
        <f>IF(Biometria!C235=0,"",Biometria!C235)</f>
        <v/>
      </c>
      <c r="D225" s="62" t="str">
        <f>IF(Biometria!D235=0,"",Biometria!D235)</f>
        <v/>
      </c>
      <c r="E225" s="62" t="str">
        <f>IF(Biometria!E235=0,"",Biometria!E235)</f>
        <v/>
      </c>
      <c r="F225" s="62" t="str">
        <f>IF(Biometria!F235=0,"",Biometria!F235)</f>
        <v/>
      </c>
      <c r="G225" s="62" t="str">
        <f>IF(Biometria!G235=0,"",Biometria!G235)</f>
        <v/>
      </c>
      <c r="H225" s="62" t="str">
        <f>IF(Biometria!H235=0,"",Biometria!H235)</f>
        <v/>
      </c>
      <c r="I225" s="62" t="str">
        <f>IF(Biometria!I235=0,"",Biometria!I235)</f>
        <v/>
      </c>
      <c r="J225" s="62" t="str">
        <f>IF(Biometria!J235=0,"",Biometria!J235)</f>
        <v/>
      </c>
      <c r="K225" s="62" t="str">
        <f>IF(Biometria!K235=0,"",Biometria!K235)</f>
        <v/>
      </c>
    </row>
    <row r="226" spans="1:11" x14ac:dyDescent="0.25">
      <c r="A226" s="62" t="str">
        <f>IF(LEN(B225)&gt;0,Biometria!A236,"")</f>
        <v/>
      </c>
      <c r="B226" s="62" t="str">
        <f>IF(LEN(Biometria!B236)=0,"",Biometria!B236)</f>
        <v/>
      </c>
      <c r="C226" s="62" t="str">
        <f>IF(Biometria!C236=0,"",Biometria!C236)</f>
        <v/>
      </c>
      <c r="D226" s="62" t="str">
        <f>IF(Biometria!D236=0,"",Biometria!D236)</f>
        <v/>
      </c>
      <c r="E226" s="62" t="str">
        <f>IF(Biometria!E236=0,"",Biometria!E236)</f>
        <v/>
      </c>
      <c r="F226" s="62" t="str">
        <f>IF(Biometria!F236=0,"",Biometria!F236)</f>
        <v/>
      </c>
      <c r="G226" s="62" t="str">
        <f>IF(Biometria!G236=0,"",Biometria!G236)</f>
        <v/>
      </c>
      <c r="H226" s="62" t="str">
        <f>IF(Biometria!H236=0,"",Biometria!H236)</f>
        <v/>
      </c>
      <c r="I226" s="62" t="str">
        <f>IF(Biometria!I236=0,"",Biometria!I236)</f>
        <v/>
      </c>
      <c r="J226" s="62" t="str">
        <f>IF(Biometria!J236=0,"",Biometria!J236)</f>
        <v/>
      </c>
      <c r="K226" s="62" t="str">
        <f>IF(Biometria!K236=0,"",Biometria!K236)</f>
        <v/>
      </c>
    </row>
    <row r="227" spans="1:11" x14ac:dyDescent="0.25">
      <c r="A227" s="62" t="str">
        <f>IF(LEN(B226)&gt;0,Biometria!A237,"")</f>
        <v/>
      </c>
      <c r="B227" s="62" t="str">
        <f>IF(LEN(Biometria!B237)=0,"",Biometria!B237)</f>
        <v/>
      </c>
      <c r="C227" s="62" t="str">
        <f>IF(Biometria!C237=0,"",Biometria!C237)</f>
        <v/>
      </c>
      <c r="D227" s="62" t="str">
        <f>IF(Biometria!D237=0,"",Biometria!D237)</f>
        <v/>
      </c>
      <c r="E227" s="62" t="str">
        <f>IF(Biometria!E237=0,"",Biometria!E237)</f>
        <v/>
      </c>
      <c r="F227" s="62" t="str">
        <f>IF(Biometria!F237=0,"",Biometria!F237)</f>
        <v/>
      </c>
      <c r="G227" s="62" t="str">
        <f>IF(Biometria!G237=0,"",Biometria!G237)</f>
        <v/>
      </c>
      <c r="H227" s="62" t="str">
        <f>IF(Biometria!H237=0,"",Biometria!H237)</f>
        <v/>
      </c>
      <c r="I227" s="62" t="str">
        <f>IF(Biometria!I237=0,"",Biometria!I237)</f>
        <v/>
      </c>
      <c r="J227" s="62" t="str">
        <f>IF(Biometria!J237=0,"",Biometria!J237)</f>
        <v/>
      </c>
      <c r="K227" s="62" t="str">
        <f>IF(Biometria!K237=0,"",Biometria!K237)</f>
        <v/>
      </c>
    </row>
    <row r="228" spans="1:11" x14ac:dyDescent="0.25">
      <c r="A228" s="62" t="str">
        <f>IF(LEN(B227)&gt;0,Biometria!A238,"")</f>
        <v/>
      </c>
      <c r="B228" s="62" t="str">
        <f>IF(LEN(Biometria!B238)=0,"",Biometria!B238)</f>
        <v/>
      </c>
      <c r="C228" s="62" t="str">
        <f>IF(Biometria!C238=0,"",Biometria!C238)</f>
        <v/>
      </c>
      <c r="D228" s="62" t="str">
        <f>IF(Biometria!D238=0,"",Biometria!D238)</f>
        <v/>
      </c>
      <c r="E228" s="62" t="str">
        <f>IF(Biometria!E238=0,"",Biometria!E238)</f>
        <v/>
      </c>
      <c r="F228" s="62" t="str">
        <f>IF(Biometria!F238=0,"",Biometria!F238)</f>
        <v/>
      </c>
      <c r="G228" s="62" t="str">
        <f>IF(Biometria!G238=0,"",Biometria!G238)</f>
        <v/>
      </c>
      <c r="H228" s="62" t="str">
        <f>IF(Biometria!H238=0,"",Biometria!H238)</f>
        <v/>
      </c>
      <c r="I228" s="62" t="str">
        <f>IF(Biometria!I238=0,"",Biometria!I238)</f>
        <v/>
      </c>
      <c r="J228" s="62" t="str">
        <f>IF(Biometria!J238=0,"",Biometria!J238)</f>
        <v/>
      </c>
      <c r="K228" s="62" t="str">
        <f>IF(Biometria!K238=0,"",Biometria!K238)</f>
        <v/>
      </c>
    </row>
    <row r="229" spans="1:11" x14ac:dyDescent="0.25">
      <c r="A229" s="62" t="str">
        <f>IF(LEN(B228)&gt;0,Biometria!A239,"")</f>
        <v/>
      </c>
      <c r="B229" s="62" t="str">
        <f>IF(LEN(Biometria!B239)=0,"",Biometria!B239)</f>
        <v/>
      </c>
      <c r="C229" s="62" t="str">
        <f>IF(Biometria!C239=0,"",Biometria!C239)</f>
        <v/>
      </c>
      <c r="D229" s="62" t="str">
        <f>IF(Biometria!D239=0,"",Biometria!D239)</f>
        <v/>
      </c>
      <c r="E229" s="62" t="str">
        <f>IF(Biometria!E239=0,"",Biometria!E239)</f>
        <v/>
      </c>
      <c r="F229" s="62" t="str">
        <f>IF(Biometria!F239=0,"",Biometria!F239)</f>
        <v/>
      </c>
      <c r="G229" s="62" t="str">
        <f>IF(Biometria!G239=0,"",Biometria!G239)</f>
        <v/>
      </c>
      <c r="H229" s="62" t="str">
        <f>IF(Biometria!H239=0,"",Biometria!H239)</f>
        <v/>
      </c>
      <c r="I229" s="62" t="str">
        <f>IF(Biometria!I239=0,"",Biometria!I239)</f>
        <v/>
      </c>
      <c r="J229" s="62" t="str">
        <f>IF(Biometria!J239=0,"",Biometria!J239)</f>
        <v/>
      </c>
      <c r="K229" s="62" t="str">
        <f>IF(Biometria!K239=0,"",Biometria!K239)</f>
        <v/>
      </c>
    </row>
    <row r="230" spans="1:11" x14ac:dyDescent="0.25">
      <c r="A230" s="62" t="str">
        <f>IF(LEN(B229)&gt;0,Biometria!A240,"")</f>
        <v/>
      </c>
      <c r="B230" s="62" t="str">
        <f>IF(LEN(Biometria!B240)=0,"",Biometria!B240)</f>
        <v/>
      </c>
      <c r="C230" s="62" t="str">
        <f>IF(Biometria!C240=0,"",Biometria!C240)</f>
        <v/>
      </c>
      <c r="D230" s="62" t="str">
        <f>IF(Biometria!D240=0,"",Biometria!D240)</f>
        <v/>
      </c>
      <c r="E230" s="62" t="str">
        <f>IF(Biometria!E240=0,"",Biometria!E240)</f>
        <v/>
      </c>
      <c r="F230" s="62" t="str">
        <f>IF(Biometria!F240=0,"",Biometria!F240)</f>
        <v/>
      </c>
      <c r="G230" s="62" t="str">
        <f>IF(Biometria!G240=0,"",Biometria!G240)</f>
        <v/>
      </c>
      <c r="H230" s="62" t="str">
        <f>IF(Biometria!H240=0,"",Biometria!H240)</f>
        <v/>
      </c>
      <c r="I230" s="62" t="str">
        <f>IF(Biometria!I240=0,"",Biometria!I240)</f>
        <v/>
      </c>
      <c r="J230" s="62" t="str">
        <f>IF(Biometria!J240=0,"",Biometria!J240)</f>
        <v/>
      </c>
      <c r="K230" s="62" t="str">
        <f>IF(Biometria!K240=0,"",Biometria!K240)</f>
        <v/>
      </c>
    </row>
    <row r="231" spans="1:11" x14ac:dyDescent="0.25">
      <c r="A231" s="62" t="str">
        <f>IF(LEN(B230)&gt;0,Biometria!A241,"")</f>
        <v/>
      </c>
      <c r="B231" s="62" t="str">
        <f>IF(LEN(Biometria!B241)=0,"",Biometria!B241)</f>
        <v/>
      </c>
      <c r="C231" s="62" t="str">
        <f>IF(Biometria!C241=0,"",Biometria!C241)</f>
        <v/>
      </c>
      <c r="D231" s="62" t="str">
        <f>IF(Biometria!D241=0,"",Biometria!D241)</f>
        <v/>
      </c>
      <c r="E231" s="62" t="str">
        <f>IF(Biometria!E241=0,"",Biometria!E241)</f>
        <v/>
      </c>
      <c r="F231" s="62" t="str">
        <f>IF(Biometria!F241=0,"",Biometria!F241)</f>
        <v/>
      </c>
      <c r="G231" s="62" t="str">
        <f>IF(Biometria!G241=0,"",Biometria!G241)</f>
        <v/>
      </c>
      <c r="H231" s="62" t="str">
        <f>IF(Biometria!H241=0,"",Biometria!H241)</f>
        <v/>
      </c>
      <c r="I231" s="62" t="str">
        <f>IF(Biometria!I241=0,"",Biometria!I241)</f>
        <v/>
      </c>
      <c r="J231" s="62" t="str">
        <f>IF(Biometria!J241=0,"",Biometria!J241)</f>
        <v/>
      </c>
      <c r="K231" s="62" t="str">
        <f>IF(Biometria!K241=0,"",Biometria!K241)</f>
        <v/>
      </c>
    </row>
    <row r="232" spans="1:11" x14ac:dyDescent="0.25">
      <c r="A232" s="62" t="str">
        <f>IF(LEN(B231)&gt;0,Biometria!A242,"")</f>
        <v/>
      </c>
      <c r="B232" s="62" t="str">
        <f>IF(LEN(Biometria!B242)=0,"",Biometria!B242)</f>
        <v/>
      </c>
      <c r="C232" s="62" t="str">
        <f>IF(Biometria!C242=0,"",Biometria!C242)</f>
        <v/>
      </c>
      <c r="D232" s="62" t="str">
        <f>IF(Biometria!D242=0,"",Biometria!D242)</f>
        <v/>
      </c>
      <c r="E232" s="62" t="str">
        <f>IF(Biometria!E242=0,"",Biometria!E242)</f>
        <v/>
      </c>
      <c r="F232" s="62" t="str">
        <f>IF(Biometria!F242=0,"",Biometria!F242)</f>
        <v/>
      </c>
      <c r="G232" s="62" t="str">
        <f>IF(Biometria!G242=0,"",Biometria!G242)</f>
        <v/>
      </c>
      <c r="H232" s="62" t="str">
        <f>IF(Biometria!H242=0,"",Biometria!H242)</f>
        <v/>
      </c>
      <c r="I232" s="62" t="str">
        <f>IF(Biometria!I242=0,"",Biometria!I242)</f>
        <v/>
      </c>
      <c r="J232" s="62" t="str">
        <f>IF(Biometria!J242=0,"",Biometria!J242)</f>
        <v/>
      </c>
      <c r="K232" s="62" t="str">
        <f>IF(Biometria!K242=0,"",Biometria!K242)</f>
        <v/>
      </c>
    </row>
    <row r="233" spans="1:11" x14ac:dyDescent="0.25">
      <c r="A233" s="62" t="str">
        <f>IF(LEN(B232)&gt;0,Biometria!A243,"")</f>
        <v/>
      </c>
      <c r="B233" s="62" t="str">
        <f>IF(LEN(Biometria!B243)=0,"",Biometria!B243)</f>
        <v/>
      </c>
      <c r="C233" s="62" t="str">
        <f>IF(Biometria!C243=0,"",Biometria!C243)</f>
        <v/>
      </c>
      <c r="D233" s="62" t="str">
        <f>IF(Biometria!D243=0,"",Biometria!D243)</f>
        <v/>
      </c>
      <c r="E233" s="62" t="str">
        <f>IF(Biometria!E243=0,"",Biometria!E243)</f>
        <v/>
      </c>
      <c r="F233" s="62" t="str">
        <f>IF(Biometria!F243=0,"",Biometria!F243)</f>
        <v/>
      </c>
      <c r="G233" s="62" t="str">
        <f>IF(Biometria!G243=0,"",Biometria!G243)</f>
        <v/>
      </c>
      <c r="H233" s="62" t="str">
        <f>IF(Biometria!H243=0,"",Biometria!H243)</f>
        <v/>
      </c>
      <c r="I233" s="62" t="str">
        <f>IF(Biometria!I243=0,"",Biometria!I243)</f>
        <v/>
      </c>
      <c r="J233" s="62" t="str">
        <f>IF(Biometria!J243=0,"",Biometria!J243)</f>
        <v/>
      </c>
      <c r="K233" s="62" t="str">
        <f>IF(Biometria!K243=0,"",Biometria!K243)</f>
        <v/>
      </c>
    </row>
    <row r="234" spans="1:11" x14ac:dyDescent="0.25">
      <c r="A234" s="62" t="str">
        <f>IF(LEN(B233)&gt;0,Biometria!A244,"")</f>
        <v/>
      </c>
      <c r="B234" s="62" t="str">
        <f>IF(LEN(Biometria!B244)=0,"",Biometria!B244)</f>
        <v/>
      </c>
      <c r="C234" s="62" t="str">
        <f>IF(Biometria!C244=0,"",Biometria!C244)</f>
        <v/>
      </c>
      <c r="D234" s="62" t="str">
        <f>IF(Biometria!D244=0,"",Biometria!D244)</f>
        <v/>
      </c>
      <c r="E234" s="62" t="str">
        <f>IF(Biometria!E244=0,"",Biometria!E244)</f>
        <v/>
      </c>
      <c r="F234" s="62" t="str">
        <f>IF(Biometria!F244=0,"",Biometria!F244)</f>
        <v/>
      </c>
      <c r="G234" s="62" t="str">
        <f>IF(Biometria!G244=0,"",Biometria!G244)</f>
        <v/>
      </c>
      <c r="H234" s="62" t="str">
        <f>IF(Biometria!H244=0,"",Biometria!H244)</f>
        <v/>
      </c>
      <c r="I234" s="62" t="str">
        <f>IF(Biometria!I244=0,"",Biometria!I244)</f>
        <v/>
      </c>
      <c r="J234" s="62" t="str">
        <f>IF(Biometria!J244=0,"",Biometria!J244)</f>
        <v/>
      </c>
      <c r="K234" s="62" t="str">
        <f>IF(Biometria!K244=0,"",Biometria!K244)</f>
        <v/>
      </c>
    </row>
    <row r="235" spans="1:11" x14ac:dyDescent="0.25">
      <c r="A235" s="62" t="str">
        <f>IF(LEN(B234)&gt;0,Biometria!A245,"")</f>
        <v/>
      </c>
      <c r="B235" s="62" t="str">
        <f>IF(LEN(Biometria!B245)=0,"",Biometria!B245)</f>
        <v/>
      </c>
      <c r="C235" s="62" t="str">
        <f>IF(Biometria!C245=0,"",Biometria!C245)</f>
        <v/>
      </c>
      <c r="D235" s="62" t="str">
        <f>IF(Biometria!D245=0,"",Biometria!D245)</f>
        <v/>
      </c>
      <c r="E235" s="62" t="str">
        <f>IF(Biometria!E245=0,"",Biometria!E245)</f>
        <v/>
      </c>
      <c r="F235" s="62" t="str">
        <f>IF(Biometria!F245=0,"",Biometria!F245)</f>
        <v/>
      </c>
      <c r="G235" s="62" t="str">
        <f>IF(Biometria!G245=0,"",Biometria!G245)</f>
        <v/>
      </c>
      <c r="H235" s="62" t="str">
        <f>IF(Biometria!H245=0,"",Biometria!H245)</f>
        <v/>
      </c>
      <c r="I235" s="62" t="str">
        <f>IF(Biometria!I245=0,"",Biometria!I245)</f>
        <v/>
      </c>
      <c r="J235" s="62" t="str">
        <f>IF(Biometria!J245=0,"",Biometria!J245)</f>
        <v/>
      </c>
      <c r="K235" s="62" t="str">
        <f>IF(Biometria!K245=0,"",Biometria!K245)</f>
        <v/>
      </c>
    </row>
    <row r="236" spans="1:11" x14ac:dyDescent="0.25">
      <c r="A236" s="62" t="str">
        <f>IF(LEN(B235)&gt;0,Biometria!A246,"")</f>
        <v/>
      </c>
      <c r="B236" s="62" t="str">
        <f>IF(LEN(Biometria!B246)=0,"",Biometria!B246)</f>
        <v/>
      </c>
      <c r="C236" s="62" t="str">
        <f>IF(Biometria!C246=0,"",Biometria!C246)</f>
        <v/>
      </c>
      <c r="D236" s="62" t="str">
        <f>IF(Biometria!D246=0,"",Biometria!D246)</f>
        <v/>
      </c>
      <c r="E236" s="62" t="str">
        <f>IF(Biometria!E246=0,"",Biometria!E246)</f>
        <v/>
      </c>
      <c r="F236" s="62" t="str">
        <f>IF(Biometria!F246=0,"",Biometria!F246)</f>
        <v/>
      </c>
      <c r="G236" s="62" t="str">
        <f>IF(Biometria!G246=0,"",Biometria!G246)</f>
        <v/>
      </c>
      <c r="H236" s="62" t="str">
        <f>IF(Biometria!H246=0,"",Biometria!H246)</f>
        <v/>
      </c>
      <c r="I236" s="62" t="str">
        <f>IF(Biometria!I246=0,"",Biometria!I246)</f>
        <v/>
      </c>
      <c r="J236" s="62" t="str">
        <f>IF(Biometria!J246=0,"",Biometria!J246)</f>
        <v/>
      </c>
      <c r="K236" s="62" t="str">
        <f>IF(Biometria!K246=0,"",Biometria!K246)</f>
        <v/>
      </c>
    </row>
    <row r="237" spans="1:11" x14ac:dyDescent="0.25">
      <c r="A237" s="62" t="str">
        <f>IF(LEN(B236)&gt;0,Biometria!A247,"")</f>
        <v/>
      </c>
      <c r="B237" s="62" t="str">
        <f>IF(LEN(Biometria!B247)=0,"",Biometria!B247)</f>
        <v/>
      </c>
      <c r="C237" s="62" t="str">
        <f>IF(Biometria!C247=0,"",Biometria!C247)</f>
        <v/>
      </c>
      <c r="D237" s="62" t="str">
        <f>IF(Biometria!D247=0,"",Biometria!D247)</f>
        <v/>
      </c>
      <c r="E237" s="62" t="str">
        <f>IF(Biometria!E247=0,"",Biometria!E247)</f>
        <v/>
      </c>
      <c r="F237" s="62" t="str">
        <f>IF(Biometria!F247=0,"",Biometria!F247)</f>
        <v/>
      </c>
      <c r="G237" s="62" t="str">
        <f>IF(Biometria!G247=0,"",Biometria!G247)</f>
        <v/>
      </c>
      <c r="H237" s="62" t="str">
        <f>IF(Biometria!H247=0,"",Biometria!H247)</f>
        <v/>
      </c>
      <c r="I237" s="62" t="str">
        <f>IF(Biometria!I247=0,"",Biometria!I247)</f>
        <v/>
      </c>
      <c r="J237" s="62" t="str">
        <f>IF(Biometria!J247=0,"",Biometria!J247)</f>
        <v/>
      </c>
      <c r="K237" s="62" t="str">
        <f>IF(Biometria!K247=0,"",Biometria!K247)</f>
        <v/>
      </c>
    </row>
    <row r="238" spans="1:11" x14ac:dyDescent="0.25">
      <c r="A238" s="62" t="str">
        <f>IF(LEN(B237)&gt;0,Biometria!A248,"")</f>
        <v/>
      </c>
      <c r="B238" s="62" t="str">
        <f>IF(LEN(Biometria!B248)=0,"",Biometria!B248)</f>
        <v/>
      </c>
      <c r="C238" s="62" t="str">
        <f>IF(Biometria!C248=0,"",Biometria!C248)</f>
        <v/>
      </c>
      <c r="D238" s="62" t="str">
        <f>IF(Biometria!D248=0,"",Biometria!D248)</f>
        <v/>
      </c>
      <c r="E238" s="62" t="str">
        <f>IF(Biometria!E248=0,"",Biometria!E248)</f>
        <v/>
      </c>
      <c r="F238" s="62" t="str">
        <f>IF(Biometria!F248=0,"",Biometria!F248)</f>
        <v/>
      </c>
      <c r="G238" s="62" t="str">
        <f>IF(Biometria!G248=0,"",Biometria!G248)</f>
        <v/>
      </c>
      <c r="H238" s="62" t="str">
        <f>IF(Biometria!H248=0,"",Biometria!H248)</f>
        <v/>
      </c>
      <c r="I238" s="62" t="str">
        <f>IF(Biometria!I248=0,"",Biometria!I248)</f>
        <v/>
      </c>
      <c r="J238" s="62" t="str">
        <f>IF(Biometria!J248=0,"",Biometria!J248)</f>
        <v/>
      </c>
      <c r="K238" s="62" t="str">
        <f>IF(Biometria!K248=0,"",Biometria!K248)</f>
        <v/>
      </c>
    </row>
    <row r="239" spans="1:11" x14ac:dyDescent="0.25">
      <c r="A239" s="62" t="str">
        <f>IF(LEN(B238)&gt;0,Biometria!A249,"")</f>
        <v/>
      </c>
      <c r="B239" s="62" t="str">
        <f>IF(LEN(Biometria!B249)=0,"",Biometria!B249)</f>
        <v/>
      </c>
      <c r="C239" s="62" t="str">
        <f>IF(Biometria!C249=0,"",Biometria!C249)</f>
        <v/>
      </c>
      <c r="D239" s="62" t="str">
        <f>IF(Biometria!D249=0,"",Biometria!D249)</f>
        <v/>
      </c>
      <c r="E239" s="62" t="str">
        <f>IF(Biometria!E249=0,"",Biometria!E249)</f>
        <v/>
      </c>
      <c r="F239" s="62" t="str">
        <f>IF(Biometria!F249=0,"",Biometria!F249)</f>
        <v/>
      </c>
      <c r="G239" s="62" t="str">
        <f>IF(Biometria!G249=0,"",Biometria!G249)</f>
        <v/>
      </c>
      <c r="H239" s="62" t="str">
        <f>IF(Biometria!H249=0,"",Biometria!H249)</f>
        <v/>
      </c>
      <c r="I239" s="62" t="str">
        <f>IF(Biometria!I249=0,"",Biometria!I249)</f>
        <v/>
      </c>
      <c r="J239" s="62" t="str">
        <f>IF(Biometria!J249=0,"",Biometria!J249)</f>
        <v/>
      </c>
      <c r="K239" s="62" t="str">
        <f>IF(Biometria!K249=0,"",Biometria!K249)</f>
        <v/>
      </c>
    </row>
    <row r="240" spans="1:11" x14ac:dyDescent="0.25">
      <c r="A240" s="62" t="str">
        <f>IF(LEN(B239)&gt;0,Biometria!A250,"")</f>
        <v/>
      </c>
      <c r="B240" s="62" t="str">
        <f>IF(LEN(Biometria!B250)=0,"",Biometria!B250)</f>
        <v/>
      </c>
      <c r="C240" s="62" t="str">
        <f>IF(Biometria!C250=0,"",Biometria!C250)</f>
        <v/>
      </c>
      <c r="D240" s="62" t="str">
        <f>IF(Biometria!D250=0,"",Biometria!D250)</f>
        <v/>
      </c>
      <c r="E240" s="62" t="str">
        <f>IF(Biometria!E250=0,"",Biometria!E250)</f>
        <v/>
      </c>
      <c r="F240" s="62" t="str">
        <f>IF(Biometria!F250=0,"",Biometria!F250)</f>
        <v/>
      </c>
      <c r="G240" s="62" t="str">
        <f>IF(Biometria!G250=0,"",Biometria!G250)</f>
        <v/>
      </c>
      <c r="H240" s="62" t="str">
        <f>IF(Biometria!H250=0,"",Biometria!H250)</f>
        <v/>
      </c>
      <c r="I240" s="62" t="str">
        <f>IF(Biometria!I250=0,"",Biometria!I250)</f>
        <v/>
      </c>
      <c r="J240" s="62" t="str">
        <f>IF(Biometria!J250=0,"",Biometria!J250)</f>
        <v/>
      </c>
      <c r="K240" s="62" t="str">
        <f>IF(Biometria!K250=0,"",Biometria!K250)</f>
        <v/>
      </c>
    </row>
    <row r="241" spans="1:11" x14ac:dyDescent="0.25">
      <c r="A241" s="62" t="str">
        <f>IF(LEN(B240)&gt;0,Biometria!A251,"")</f>
        <v/>
      </c>
      <c r="B241" s="62" t="str">
        <f>IF(LEN(Biometria!B251)=0,"",Biometria!B251)</f>
        <v/>
      </c>
      <c r="C241" s="62" t="str">
        <f>IF(Biometria!C251=0,"",Biometria!C251)</f>
        <v/>
      </c>
      <c r="D241" s="62" t="str">
        <f>IF(Biometria!D251=0,"",Biometria!D251)</f>
        <v/>
      </c>
      <c r="E241" s="62" t="str">
        <f>IF(Biometria!E251=0,"",Biometria!E251)</f>
        <v/>
      </c>
      <c r="F241" s="62" t="str">
        <f>IF(Biometria!F251=0,"",Biometria!F251)</f>
        <v/>
      </c>
      <c r="G241" s="62" t="str">
        <f>IF(Biometria!G251=0,"",Biometria!G251)</f>
        <v/>
      </c>
      <c r="H241" s="62" t="str">
        <f>IF(Biometria!H251=0,"",Biometria!H251)</f>
        <v/>
      </c>
      <c r="I241" s="62" t="str">
        <f>IF(Biometria!I251=0,"",Biometria!I251)</f>
        <v/>
      </c>
      <c r="J241" s="62" t="str">
        <f>IF(Biometria!J251=0,"",Biometria!J251)</f>
        <v/>
      </c>
      <c r="K241" s="62" t="str">
        <f>IF(Biometria!K251=0,"",Biometria!K251)</f>
        <v/>
      </c>
    </row>
    <row r="242" spans="1:11" x14ac:dyDescent="0.25">
      <c r="A242" s="62" t="str">
        <f>IF(LEN(B241)&gt;0,Biometria!A252,"")</f>
        <v/>
      </c>
      <c r="B242" s="62" t="str">
        <f>IF(LEN(Biometria!B252)=0,"",Biometria!B252)</f>
        <v/>
      </c>
      <c r="C242" s="62" t="str">
        <f>IF(Biometria!C252=0,"",Biometria!C252)</f>
        <v/>
      </c>
      <c r="D242" s="62" t="str">
        <f>IF(Biometria!D252=0,"",Biometria!D252)</f>
        <v/>
      </c>
      <c r="E242" s="62" t="str">
        <f>IF(Biometria!E252=0,"",Biometria!E252)</f>
        <v/>
      </c>
      <c r="F242" s="62" t="str">
        <f>IF(Biometria!F252=0,"",Biometria!F252)</f>
        <v/>
      </c>
      <c r="G242" s="62" t="str">
        <f>IF(Biometria!G252=0,"",Biometria!G252)</f>
        <v/>
      </c>
      <c r="H242" s="62" t="str">
        <f>IF(Biometria!H252=0,"",Biometria!H252)</f>
        <v/>
      </c>
      <c r="I242" s="62" t="str">
        <f>IF(Biometria!I252=0,"",Biometria!I252)</f>
        <v/>
      </c>
      <c r="J242" s="62" t="str">
        <f>IF(Biometria!J252=0,"",Biometria!J252)</f>
        <v/>
      </c>
      <c r="K242" s="62" t="str">
        <f>IF(Biometria!K252=0,"",Biometria!K252)</f>
        <v/>
      </c>
    </row>
    <row r="243" spans="1:11" x14ac:dyDescent="0.25">
      <c r="A243" s="62" t="str">
        <f>IF(LEN(B242)&gt;0,Biometria!A253,"")</f>
        <v/>
      </c>
      <c r="B243" s="62" t="str">
        <f>IF(LEN(Biometria!B253)=0,"",Biometria!B253)</f>
        <v/>
      </c>
      <c r="C243" s="62" t="str">
        <f>IF(Biometria!C253=0,"",Biometria!C253)</f>
        <v/>
      </c>
      <c r="D243" s="62" t="str">
        <f>IF(Biometria!D253=0,"",Biometria!D253)</f>
        <v/>
      </c>
      <c r="E243" s="62" t="str">
        <f>IF(Biometria!E253=0,"",Biometria!E253)</f>
        <v/>
      </c>
      <c r="F243" s="62" t="str">
        <f>IF(Biometria!F253=0,"",Biometria!F253)</f>
        <v/>
      </c>
      <c r="G243" s="62" t="str">
        <f>IF(Biometria!G253=0,"",Biometria!G253)</f>
        <v/>
      </c>
      <c r="H243" s="62" t="str">
        <f>IF(Biometria!H253=0,"",Biometria!H253)</f>
        <v/>
      </c>
      <c r="I243" s="62" t="str">
        <f>IF(Biometria!I253=0,"",Biometria!I253)</f>
        <v/>
      </c>
      <c r="J243" s="62" t="str">
        <f>IF(Biometria!J253=0,"",Biometria!J253)</f>
        <v/>
      </c>
      <c r="K243" s="62" t="str">
        <f>IF(Biometria!K253=0,"",Biometria!K253)</f>
        <v/>
      </c>
    </row>
    <row r="244" spans="1:11" x14ac:dyDescent="0.25">
      <c r="A244" s="62" t="str">
        <f>IF(LEN(B243)&gt;0,Biometria!A254,"")</f>
        <v/>
      </c>
      <c r="B244" s="62" t="str">
        <f>IF(LEN(Biometria!B254)=0,"",Biometria!B254)</f>
        <v/>
      </c>
      <c r="C244" s="62" t="str">
        <f>IF(Biometria!C254=0,"",Biometria!C254)</f>
        <v/>
      </c>
      <c r="D244" s="62" t="str">
        <f>IF(Biometria!D254=0,"",Biometria!D254)</f>
        <v/>
      </c>
      <c r="E244" s="62" t="str">
        <f>IF(Biometria!E254=0,"",Biometria!E254)</f>
        <v/>
      </c>
      <c r="F244" s="62" t="str">
        <f>IF(Biometria!F254=0,"",Biometria!F254)</f>
        <v/>
      </c>
      <c r="G244" s="62" t="str">
        <f>IF(Biometria!G254=0,"",Biometria!G254)</f>
        <v/>
      </c>
      <c r="H244" s="62" t="str">
        <f>IF(Biometria!H254=0,"",Biometria!H254)</f>
        <v/>
      </c>
      <c r="I244" s="62" t="str">
        <f>IF(Biometria!I254=0,"",Biometria!I254)</f>
        <v/>
      </c>
      <c r="J244" s="62" t="str">
        <f>IF(Biometria!J254=0,"",Biometria!J254)</f>
        <v/>
      </c>
      <c r="K244" s="62" t="str">
        <f>IF(Biometria!K254=0,"",Biometria!K254)</f>
        <v/>
      </c>
    </row>
    <row r="245" spans="1:11" x14ac:dyDescent="0.25">
      <c r="A245" s="62" t="str">
        <f>IF(LEN(B244)&gt;0,Biometria!A255,"")</f>
        <v/>
      </c>
      <c r="B245" s="62" t="str">
        <f>IF(LEN(Biometria!B255)=0,"",Biometria!B255)</f>
        <v/>
      </c>
      <c r="C245" s="62" t="str">
        <f>IF(Biometria!C255=0,"",Biometria!C255)</f>
        <v/>
      </c>
      <c r="D245" s="62" t="str">
        <f>IF(Biometria!D255=0,"",Biometria!D255)</f>
        <v/>
      </c>
      <c r="E245" s="62" t="str">
        <f>IF(Biometria!E255=0,"",Biometria!E255)</f>
        <v/>
      </c>
      <c r="F245" s="62" t="str">
        <f>IF(Biometria!F255=0,"",Biometria!F255)</f>
        <v/>
      </c>
      <c r="G245" s="62" t="str">
        <f>IF(Biometria!G255=0,"",Biometria!G255)</f>
        <v/>
      </c>
      <c r="H245" s="62" t="str">
        <f>IF(Biometria!H255=0,"",Biometria!H255)</f>
        <v/>
      </c>
      <c r="I245" s="62" t="str">
        <f>IF(Biometria!I255=0,"",Biometria!I255)</f>
        <v/>
      </c>
      <c r="J245" s="62" t="str">
        <f>IF(Biometria!J255=0,"",Biometria!J255)</f>
        <v/>
      </c>
      <c r="K245" s="62" t="str">
        <f>IF(Biometria!K255=0,"",Biometria!K255)</f>
        <v/>
      </c>
    </row>
    <row r="246" spans="1:11" x14ac:dyDescent="0.25">
      <c r="A246" s="62" t="str">
        <f>IF(LEN(B245)&gt;0,Biometria!A256,"")</f>
        <v/>
      </c>
      <c r="B246" s="62" t="str">
        <f>IF(LEN(Biometria!B256)=0,"",Biometria!B256)</f>
        <v/>
      </c>
      <c r="C246" s="62" t="str">
        <f>IF(Biometria!C256=0,"",Biometria!C256)</f>
        <v/>
      </c>
      <c r="D246" s="62" t="str">
        <f>IF(Biometria!D256=0,"",Biometria!D256)</f>
        <v/>
      </c>
      <c r="E246" s="62" t="str">
        <f>IF(Biometria!E256=0,"",Biometria!E256)</f>
        <v/>
      </c>
      <c r="F246" s="62" t="str">
        <f>IF(Biometria!F256=0,"",Biometria!F256)</f>
        <v/>
      </c>
      <c r="G246" s="62" t="str">
        <f>IF(Biometria!G256=0,"",Biometria!G256)</f>
        <v/>
      </c>
      <c r="H246" s="62" t="str">
        <f>IF(Biometria!H256=0,"",Biometria!H256)</f>
        <v/>
      </c>
      <c r="I246" s="62" t="str">
        <f>IF(Biometria!I256=0,"",Biometria!I256)</f>
        <v/>
      </c>
      <c r="J246" s="62" t="str">
        <f>IF(Biometria!J256=0,"",Biometria!J256)</f>
        <v/>
      </c>
      <c r="K246" s="62" t="str">
        <f>IF(Biometria!K256=0,"",Biometria!K256)</f>
        <v/>
      </c>
    </row>
    <row r="247" spans="1:11" x14ac:dyDescent="0.25">
      <c r="A247" s="62" t="str">
        <f>IF(LEN(B246)&gt;0,Biometria!A257,"")</f>
        <v/>
      </c>
      <c r="B247" s="62" t="str">
        <f>IF(LEN(Biometria!B257)=0,"",Biometria!B257)</f>
        <v/>
      </c>
      <c r="C247" s="62" t="str">
        <f>IF(Biometria!C257=0,"",Biometria!C257)</f>
        <v/>
      </c>
      <c r="D247" s="62" t="str">
        <f>IF(Biometria!D257=0,"",Biometria!D257)</f>
        <v/>
      </c>
      <c r="E247" s="62" t="str">
        <f>IF(Biometria!E257=0,"",Biometria!E257)</f>
        <v/>
      </c>
      <c r="F247" s="62" t="str">
        <f>IF(Biometria!F257=0,"",Biometria!F257)</f>
        <v/>
      </c>
      <c r="G247" s="62" t="str">
        <f>IF(Biometria!G257=0,"",Biometria!G257)</f>
        <v/>
      </c>
      <c r="H247" s="62" t="str">
        <f>IF(Biometria!H257=0,"",Biometria!H257)</f>
        <v/>
      </c>
      <c r="I247" s="62" t="str">
        <f>IF(Biometria!I257=0,"",Biometria!I257)</f>
        <v/>
      </c>
      <c r="J247" s="62" t="str">
        <f>IF(Biometria!J257=0,"",Biometria!J257)</f>
        <v/>
      </c>
      <c r="K247" s="62" t="str">
        <f>IF(Biometria!K257=0,"",Biometria!K257)</f>
        <v/>
      </c>
    </row>
    <row r="248" spans="1:11" x14ac:dyDescent="0.25">
      <c r="A248" s="62" t="str">
        <f>IF(LEN(B247)&gt;0,Biometria!A258,"")</f>
        <v/>
      </c>
      <c r="B248" s="62" t="str">
        <f>IF(LEN(Biometria!B258)=0,"",Biometria!B258)</f>
        <v/>
      </c>
      <c r="C248" s="62" t="str">
        <f>IF(Biometria!C258=0,"",Biometria!C258)</f>
        <v/>
      </c>
      <c r="D248" s="62" t="str">
        <f>IF(Biometria!D258=0,"",Biometria!D258)</f>
        <v/>
      </c>
      <c r="E248" s="62" t="str">
        <f>IF(Biometria!E258=0,"",Biometria!E258)</f>
        <v/>
      </c>
      <c r="F248" s="62" t="str">
        <f>IF(Biometria!F258=0,"",Biometria!F258)</f>
        <v/>
      </c>
      <c r="G248" s="62" t="str">
        <f>IF(Biometria!G258=0,"",Biometria!G258)</f>
        <v/>
      </c>
      <c r="H248" s="62" t="str">
        <f>IF(Biometria!H258=0,"",Biometria!H258)</f>
        <v/>
      </c>
      <c r="I248" s="62" t="str">
        <f>IF(Biometria!I258=0,"",Biometria!I258)</f>
        <v/>
      </c>
      <c r="J248" s="62" t="str">
        <f>IF(Biometria!J258=0,"",Biometria!J258)</f>
        <v/>
      </c>
      <c r="K248" s="62" t="str">
        <f>IF(Biometria!K258=0,"",Biometria!K258)</f>
        <v/>
      </c>
    </row>
    <row r="249" spans="1:11" x14ac:dyDescent="0.25">
      <c r="A249" s="62" t="str">
        <f>IF(LEN(B248)&gt;0,Biometria!A259,"")</f>
        <v/>
      </c>
      <c r="B249" s="62" t="str">
        <f>IF(LEN(Biometria!B259)=0,"",Biometria!B259)</f>
        <v/>
      </c>
      <c r="C249" s="62" t="str">
        <f>IF(Biometria!C259=0,"",Biometria!C259)</f>
        <v/>
      </c>
      <c r="D249" s="62" t="str">
        <f>IF(Biometria!D259=0,"",Biometria!D259)</f>
        <v/>
      </c>
      <c r="E249" s="62" t="str">
        <f>IF(Biometria!E259=0,"",Biometria!E259)</f>
        <v/>
      </c>
      <c r="F249" s="62" t="str">
        <f>IF(Biometria!F259=0,"",Biometria!F259)</f>
        <v/>
      </c>
      <c r="G249" s="62" t="str">
        <f>IF(Biometria!G259=0,"",Biometria!G259)</f>
        <v/>
      </c>
      <c r="H249" s="62" t="str">
        <f>IF(Biometria!H259=0,"",Biometria!H259)</f>
        <v/>
      </c>
      <c r="I249" s="62" t="str">
        <f>IF(Biometria!I259=0,"",Biometria!I259)</f>
        <v/>
      </c>
      <c r="J249" s="62" t="str">
        <f>IF(Biometria!J259=0,"",Biometria!J259)</f>
        <v/>
      </c>
      <c r="K249" s="62" t="str">
        <f>IF(Biometria!K259=0,"",Biometria!K259)</f>
        <v/>
      </c>
    </row>
    <row r="250" spans="1:11" x14ac:dyDescent="0.25">
      <c r="A250" s="62" t="str">
        <f>IF(LEN(B249)&gt;0,Biometria!A260,"")</f>
        <v/>
      </c>
      <c r="B250" s="62" t="str">
        <f>IF(LEN(Biometria!B260)=0,"",Biometria!B260)</f>
        <v/>
      </c>
      <c r="C250" s="62" t="str">
        <f>IF(Biometria!C260=0,"",Biometria!C260)</f>
        <v/>
      </c>
      <c r="D250" s="62" t="str">
        <f>IF(Biometria!D260=0,"",Biometria!D260)</f>
        <v/>
      </c>
      <c r="E250" s="62" t="str">
        <f>IF(Biometria!E260=0,"",Biometria!E260)</f>
        <v/>
      </c>
      <c r="F250" s="62" t="str">
        <f>IF(Biometria!F260=0,"",Biometria!F260)</f>
        <v/>
      </c>
      <c r="G250" s="62" t="str">
        <f>IF(Biometria!G260=0,"",Biometria!G260)</f>
        <v/>
      </c>
      <c r="H250" s="62" t="str">
        <f>IF(Biometria!H260=0,"",Biometria!H260)</f>
        <v/>
      </c>
      <c r="I250" s="62" t="str">
        <f>IF(Biometria!I260=0,"",Biometria!I260)</f>
        <v/>
      </c>
      <c r="J250" s="62" t="str">
        <f>IF(Biometria!J260=0,"",Biometria!J260)</f>
        <v/>
      </c>
      <c r="K250" s="62" t="str">
        <f>IF(Biometria!K260=0,"",Biometria!K260)</f>
        <v/>
      </c>
    </row>
    <row r="251" spans="1:11" x14ac:dyDescent="0.25">
      <c r="A251" s="62" t="str">
        <f>IF(LEN(B250)&gt;0,Biometria!A261,"")</f>
        <v/>
      </c>
      <c r="B251" s="62" t="str">
        <f>IF(LEN(Biometria!B261)=0,"",Biometria!B261)</f>
        <v/>
      </c>
      <c r="C251" s="62" t="str">
        <f>IF(Biometria!C261=0,"",Biometria!C261)</f>
        <v/>
      </c>
      <c r="D251" s="62" t="str">
        <f>IF(Biometria!D261=0,"",Biometria!D261)</f>
        <v/>
      </c>
      <c r="E251" s="62" t="str">
        <f>IF(Biometria!E261=0,"",Biometria!E261)</f>
        <v/>
      </c>
      <c r="F251" s="62" t="str">
        <f>IF(Biometria!F261=0,"",Biometria!F261)</f>
        <v/>
      </c>
      <c r="G251" s="62" t="str">
        <f>IF(Biometria!G261=0,"",Biometria!G261)</f>
        <v/>
      </c>
      <c r="H251" s="62" t="str">
        <f>IF(Biometria!H261=0,"",Biometria!H261)</f>
        <v/>
      </c>
      <c r="I251" s="62" t="str">
        <f>IF(Biometria!I261=0,"",Biometria!I261)</f>
        <v/>
      </c>
      <c r="J251" s="62" t="str">
        <f>IF(Biometria!J261=0,"",Biometria!J261)</f>
        <v/>
      </c>
      <c r="K251" s="62" t="str">
        <f>IF(Biometria!K261=0,"",Biometria!K261)</f>
        <v/>
      </c>
    </row>
    <row r="252" spans="1:11" x14ac:dyDescent="0.25">
      <c r="A252" s="62" t="str">
        <f>IF(LEN(B251)&gt;0,Biometria!A262,"")</f>
        <v/>
      </c>
      <c r="B252" s="62" t="str">
        <f>IF(LEN(Biometria!B262)=0,"",Biometria!B262)</f>
        <v/>
      </c>
      <c r="C252" s="62" t="str">
        <f>IF(Biometria!C262=0,"",Biometria!C262)</f>
        <v/>
      </c>
      <c r="D252" s="62" t="str">
        <f>IF(Biometria!D262=0,"",Biometria!D262)</f>
        <v/>
      </c>
      <c r="E252" s="62" t="str">
        <f>IF(Biometria!E262=0,"",Biometria!E262)</f>
        <v/>
      </c>
      <c r="F252" s="62" t="str">
        <f>IF(Biometria!F262=0,"",Biometria!F262)</f>
        <v/>
      </c>
      <c r="G252" s="62" t="str">
        <f>IF(Biometria!G262=0,"",Biometria!G262)</f>
        <v/>
      </c>
      <c r="H252" s="62" t="str">
        <f>IF(Biometria!H262=0,"",Biometria!H262)</f>
        <v/>
      </c>
      <c r="I252" s="62" t="str">
        <f>IF(Biometria!I262=0,"",Biometria!I262)</f>
        <v/>
      </c>
      <c r="J252" s="62" t="str">
        <f>IF(Biometria!J262=0,"",Biometria!J262)</f>
        <v/>
      </c>
      <c r="K252" s="62" t="str">
        <f>IF(Biometria!K262=0,"",Biometria!K262)</f>
        <v/>
      </c>
    </row>
    <row r="253" spans="1:11" x14ac:dyDescent="0.25">
      <c r="A253" s="62" t="str">
        <f>IF(LEN(B252)&gt;0,Biometria!A263,"")</f>
        <v/>
      </c>
      <c r="B253" s="62" t="str">
        <f>IF(LEN(Biometria!B263)=0,"",Biometria!B263)</f>
        <v/>
      </c>
      <c r="C253" s="62" t="str">
        <f>IF(Biometria!C263=0,"",Biometria!C263)</f>
        <v/>
      </c>
      <c r="D253" s="62" t="str">
        <f>IF(Biometria!D263=0,"",Biometria!D263)</f>
        <v/>
      </c>
      <c r="E253" s="62" t="str">
        <f>IF(Biometria!E263=0,"",Biometria!E263)</f>
        <v/>
      </c>
      <c r="F253" s="62" t="str">
        <f>IF(Biometria!F263=0,"",Biometria!F263)</f>
        <v/>
      </c>
      <c r="G253" s="62" t="str">
        <f>IF(Biometria!G263=0,"",Biometria!G263)</f>
        <v/>
      </c>
      <c r="H253" s="62" t="str">
        <f>IF(Biometria!H263=0,"",Biometria!H263)</f>
        <v/>
      </c>
      <c r="I253" s="62" t="str">
        <f>IF(Biometria!I263=0,"",Biometria!I263)</f>
        <v/>
      </c>
      <c r="J253" s="62" t="str">
        <f>IF(Biometria!J263=0,"",Biometria!J263)</f>
        <v/>
      </c>
      <c r="K253" s="62" t="str">
        <f>IF(Biometria!K263=0,"",Biometria!K263)</f>
        <v/>
      </c>
    </row>
    <row r="254" spans="1:11" x14ac:dyDescent="0.25">
      <c r="A254" s="62" t="str">
        <f>IF(LEN(B253)&gt;0,Biometria!A264,"")</f>
        <v/>
      </c>
      <c r="B254" s="62" t="str">
        <f>IF(LEN(Biometria!B264)=0,"",Biometria!B264)</f>
        <v/>
      </c>
      <c r="C254" s="62" t="str">
        <f>IF(Biometria!C264=0,"",Biometria!C264)</f>
        <v/>
      </c>
      <c r="D254" s="62" t="str">
        <f>IF(Biometria!D264=0,"",Biometria!D264)</f>
        <v/>
      </c>
      <c r="E254" s="62" t="str">
        <f>IF(Biometria!E264=0,"",Biometria!E264)</f>
        <v/>
      </c>
      <c r="F254" s="62" t="str">
        <f>IF(Biometria!F264=0,"",Biometria!F264)</f>
        <v/>
      </c>
      <c r="G254" s="62" t="str">
        <f>IF(Biometria!G264=0,"",Biometria!G264)</f>
        <v/>
      </c>
      <c r="H254" s="62" t="str">
        <f>IF(Biometria!H264=0,"",Biometria!H264)</f>
        <v/>
      </c>
      <c r="I254" s="62" t="str">
        <f>IF(Biometria!I264=0,"",Biometria!I264)</f>
        <v/>
      </c>
      <c r="J254" s="62" t="str">
        <f>IF(Biometria!J264=0,"",Biometria!J264)</f>
        <v/>
      </c>
      <c r="K254" s="62" t="str">
        <f>IF(Biometria!K264=0,"",Biometria!K264)</f>
        <v/>
      </c>
    </row>
    <row r="255" spans="1:11" x14ac:dyDescent="0.25">
      <c r="A255" s="62" t="str">
        <f>IF(LEN(B254)&gt;0,Biometria!A265,"")</f>
        <v/>
      </c>
      <c r="B255" s="62" t="str">
        <f>IF(LEN(Biometria!B265)=0,"",Biometria!B265)</f>
        <v/>
      </c>
      <c r="C255" s="62" t="str">
        <f>IF(Biometria!C265=0,"",Biometria!C265)</f>
        <v/>
      </c>
      <c r="D255" s="62" t="str">
        <f>IF(Biometria!D265=0,"",Biometria!D265)</f>
        <v/>
      </c>
      <c r="E255" s="62" t="str">
        <f>IF(Biometria!E265=0,"",Biometria!E265)</f>
        <v/>
      </c>
      <c r="F255" s="62" t="str">
        <f>IF(Biometria!F265=0,"",Biometria!F265)</f>
        <v/>
      </c>
      <c r="G255" s="62" t="str">
        <f>IF(Biometria!G265=0,"",Biometria!G265)</f>
        <v/>
      </c>
      <c r="H255" s="62" t="str">
        <f>IF(Biometria!H265=0,"",Biometria!H265)</f>
        <v/>
      </c>
      <c r="I255" s="62" t="str">
        <f>IF(Biometria!I265=0,"",Biometria!I265)</f>
        <v/>
      </c>
      <c r="J255" s="62" t="str">
        <f>IF(Biometria!J265=0,"",Biometria!J265)</f>
        <v/>
      </c>
      <c r="K255" s="62" t="str">
        <f>IF(Biometria!K265=0,"",Biometria!K265)</f>
        <v/>
      </c>
    </row>
    <row r="256" spans="1:11" x14ac:dyDescent="0.25">
      <c r="A256" s="62" t="str">
        <f>IF(LEN(B255)&gt;0,Biometria!A266,"")</f>
        <v/>
      </c>
      <c r="B256" s="62" t="str">
        <f>IF(LEN(Biometria!B266)=0,"",Biometria!B266)</f>
        <v/>
      </c>
      <c r="C256" s="62" t="str">
        <f>IF(Biometria!C266=0,"",Biometria!C266)</f>
        <v/>
      </c>
      <c r="D256" s="62" t="str">
        <f>IF(Biometria!D266=0,"",Biometria!D266)</f>
        <v/>
      </c>
      <c r="E256" s="62" t="str">
        <f>IF(Biometria!E266=0,"",Biometria!E266)</f>
        <v/>
      </c>
      <c r="F256" s="62" t="str">
        <f>IF(Biometria!F266=0,"",Biometria!F266)</f>
        <v/>
      </c>
      <c r="G256" s="62" t="str">
        <f>IF(Biometria!G266=0,"",Biometria!G266)</f>
        <v/>
      </c>
      <c r="H256" s="62" t="str">
        <f>IF(Biometria!H266=0,"",Biometria!H266)</f>
        <v/>
      </c>
      <c r="I256" s="62" t="str">
        <f>IF(Biometria!I266=0,"",Biometria!I266)</f>
        <v/>
      </c>
      <c r="J256" s="62" t="str">
        <f>IF(Biometria!J266=0,"",Biometria!J266)</f>
        <v/>
      </c>
      <c r="K256" s="62" t="str">
        <f>IF(Biometria!K266=0,"",Biometria!K266)</f>
        <v/>
      </c>
    </row>
    <row r="257" spans="1:11" x14ac:dyDescent="0.25">
      <c r="A257" s="62" t="str">
        <f>IF(LEN(B256)&gt;0,Biometria!A267,"")</f>
        <v/>
      </c>
      <c r="B257" s="62" t="str">
        <f>IF(LEN(Biometria!B267)=0,"",Biometria!B267)</f>
        <v/>
      </c>
      <c r="C257" s="62" t="str">
        <f>IF(Biometria!C267=0,"",Biometria!C267)</f>
        <v/>
      </c>
      <c r="D257" s="62" t="str">
        <f>IF(Biometria!D267=0,"",Biometria!D267)</f>
        <v/>
      </c>
      <c r="E257" s="62" t="str">
        <f>IF(Biometria!E267=0,"",Biometria!E267)</f>
        <v/>
      </c>
      <c r="F257" s="62" t="str">
        <f>IF(Biometria!F267=0,"",Biometria!F267)</f>
        <v/>
      </c>
      <c r="G257" s="62" t="str">
        <f>IF(Biometria!G267=0,"",Biometria!G267)</f>
        <v/>
      </c>
      <c r="H257" s="62" t="str">
        <f>IF(Biometria!H267=0,"",Biometria!H267)</f>
        <v/>
      </c>
      <c r="I257" s="62" t="str">
        <f>IF(Biometria!I267=0,"",Biometria!I267)</f>
        <v/>
      </c>
      <c r="J257" s="62" t="str">
        <f>IF(Biometria!J267=0,"",Biometria!J267)</f>
        <v/>
      </c>
      <c r="K257" s="62" t="str">
        <f>IF(Biometria!K267=0,"",Biometria!K267)</f>
        <v/>
      </c>
    </row>
    <row r="258" spans="1:11" x14ac:dyDescent="0.25">
      <c r="A258" s="62" t="str">
        <f>IF(LEN(B257)&gt;0,Biometria!A268,"")</f>
        <v/>
      </c>
      <c r="B258" s="62" t="str">
        <f>IF(LEN(Biometria!B268)=0,"",Biometria!B268)</f>
        <v/>
      </c>
      <c r="C258" s="62" t="str">
        <f>IF(Biometria!C268=0,"",Biometria!C268)</f>
        <v/>
      </c>
      <c r="D258" s="62" t="str">
        <f>IF(Biometria!D268=0,"",Biometria!D268)</f>
        <v/>
      </c>
      <c r="E258" s="62" t="str">
        <f>IF(Biometria!E268=0,"",Biometria!E268)</f>
        <v/>
      </c>
      <c r="F258" s="62" t="str">
        <f>IF(Biometria!F268=0,"",Biometria!F268)</f>
        <v/>
      </c>
      <c r="G258" s="62" t="str">
        <f>IF(Biometria!G268=0,"",Biometria!G268)</f>
        <v/>
      </c>
      <c r="H258" s="62" t="str">
        <f>IF(Biometria!H268=0,"",Biometria!H268)</f>
        <v/>
      </c>
      <c r="I258" s="62" t="str">
        <f>IF(Biometria!I268=0,"",Biometria!I268)</f>
        <v/>
      </c>
      <c r="J258" s="62" t="str">
        <f>IF(Biometria!J268=0,"",Biometria!J268)</f>
        <v/>
      </c>
      <c r="K258" s="62" t="str">
        <f>IF(Biometria!K268=0,"",Biometria!K268)</f>
        <v/>
      </c>
    </row>
    <row r="259" spans="1:11" x14ac:dyDescent="0.25">
      <c r="A259" s="62" t="str">
        <f>IF(LEN(B258)&gt;0,Biometria!A269,"")</f>
        <v/>
      </c>
      <c r="B259" s="62" t="str">
        <f>IF(LEN(Biometria!B269)=0,"",Biometria!B269)</f>
        <v/>
      </c>
      <c r="C259" s="62" t="str">
        <f>IF(Biometria!C269=0,"",Biometria!C269)</f>
        <v/>
      </c>
      <c r="D259" s="62" t="str">
        <f>IF(Biometria!D269=0,"",Biometria!D269)</f>
        <v/>
      </c>
      <c r="E259" s="62" t="str">
        <f>IF(Biometria!E269=0,"",Biometria!E269)</f>
        <v/>
      </c>
      <c r="F259" s="62" t="str">
        <f>IF(Biometria!F269=0,"",Biometria!F269)</f>
        <v/>
      </c>
      <c r="G259" s="62" t="str">
        <f>IF(Biometria!G269=0,"",Biometria!G269)</f>
        <v/>
      </c>
      <c r="H259" s="62" t="str">
        <f>IF(Biometria!H269=0,"",Biometria!H269)</f>
        <v/>
      </c>
      <c r="I259" s="62" t="str">
        <f>IF(Biometria!I269=0,"",Biometria!I269)</f>
        <v/>
      </c>
      <c r="J259" s="62" t="str">
        <f>IF(Biometria!J269=0,"",Biometria!J269)</f>
        <v/>
      </c>
      <c r="K259" s="62" t="str">
        <f>IF(Biometria!K269=0,"",Biometria!K269)</f>
        <v/>
      </c>
    </row>
    <row r="260" spans="1:11" x14ac:dyDescent="0.25">
      <c r="A260" s="62" t="str">
        <f>IF(LEN(B259)&gt;0,Biometria!A270,"")</f>
        <v/>
      </c>
      <c r="B260" s="62" t="str">
        <f>IF(LEN(Biometria!B270)=0,"",Biometria!B270)</f>
        <v/>
      </c>
      <c r="C260" s="62" t="str">
        <f>IF(Biometria!C270=0,"",Biometria!C270)</f>
        <v/>
      </c>
      <c r="D260" s="62" t="str">
        <f>IF(Biometria!D270=0,"",Biometria!D270)</f>
        <v/>
      </c>
      <c r="E260" s="62" t="str">
        <f>IF(Biometria!E270=0,"",Biometria!E270)</f>
        <v/>
      </c>
      <c r="F260" s="62" t="str">
        <f>IF(Biometria!F270=0,"",Biometria!F270)</f>
        <v/>
      </c>
      <c r="G260" s="62" t="str">
        <f>IF(Biometria!G270=0,"",Biometria!G270)</f>
        <v/>
      </c>
      <c r="H260" s="62" t="str">
        <f>IF(Biometria!H270=0,"",Biometria!H270)</f>
        <v/>
      </c>
      <c r="I260" s="62" t="str">
        <f>IF(Biometria!I270=0,"",Biometria!I270)</f>
        <v/>
      </c>
      <c r="J260" s="62" t="str">
        <f>IF(Biometria!J270=0,"",Biometria!J270)</f>
        <v/>
      </c>
      <c r="K260" s="62" t="str">
        <f>IF(Biometria!K270=0,"",Biometria!K270)</f>
        <v/>
      </c>
    </row>
    <row r="261" spans="1:11" x14ac:dyDescent="0.25">
      <c r="A261" s="62" t="str">
        <f>IF(LEN(B260)&gt;0,Biometria!A271,"")</f>
        <v/>
      </c>
      <c r="B261" s="62" t="str">
        <f>IF(LEN(Biometria!B271)=0,"",Biometria!B271)</f>
        <v/>
      </c>
      <c r="C261" s="62" t="str">
        <f>IF(Biometria!C271=0,"",Biometria!C271)</f>
        <v/>
      </c>
      <c r="D261" s="62" t="str">
        <f>IF(Biometria!D271=0,"",Biometria!D271)</f>
        <v/>
      </c>
      <c r="E261" s="62" t="str">
        <f>IF(Biometria!E271=0,"",Biometria!E271)</f>
        <v/>
      </c>
      <c r="F261" s="62" t="str">
        <f>IF(Biometria!F271=0,"",Biometria!F271)</f>
        <v/>
      </c>
      <c r="G261" s="62" t="str">
        <f>IF(Biometria!G271=0,"",Biometria!G271)</f>
        <v/>
      </c>
      <c r="H261" s="62" t="str">
        <f>IF(Biometria!H271=0,"",Biometria!H271)</f>
        <v/>
      </c>
      <c r="I261" s="62" t="str">
        <f>IF(Biometria!I271=0,"",Biometria!I271)</f>
        <v/>
      </c>
      <c r="J261" s="62" t="str">
        <f>IF(Biometria!J271=0,"",Biometria!J271)</f>
        <v/>
      </c>
      <c r="K261" s="62" t="str">
        <f>IF(Biometria!K271=0,"",Biometria!K271)</f>
        <v/>
      </c>
    </row>
    <row r="262" spans="1:11" x14ac:dyDescent="0.25">
      <c r="A262" s="62" t="str">
        <f>IF(LEN(B261)&gt;0,Biometria!A272,"")</f>
        <v/>
      </c>
      <c r="B262" s="62" t="str">
        <f>IF(LEN(Biometria!B272)=0,"",Biometria!B272)</f>
        <v/>
      </c>
      <c r="C262" s="62" t="str">
        <f>IF(Biometria!C272=0,"",Biometria!C272)</f>
        <v/>
      </c>
      <c r="D262" s="62" t="str">
        <f>IF(Biometria!D272=0,"",Biometria!D272)</f>
        <v/>
      </c>
      <c r="E262" s="62" t="str">
        <f>IF(Biometria!E272=0,"",Biometria!E272)</f>
        <v/>
      </c>
      <c r="F262" s="62" t="str">
        <f>IF(Biometria!F272=0,"",Biometria!F272)</f>
        <v/>
      </c>
      <c r="G262" s="62" t="str">
        <f>IF(Biometria!G272=0,"",Biometria!G272)</f>
        <v/>
      </c>
      <c r="H262" s="62" t="str">
        <f>IF(Biometria!H272=0,"",Biometria!H272)</f>
        <v/>
      </c>
      <c r="I262" s="62" t="str">
        <f>IF(Biometria!I272=0,"",Biometria!I272)</f>
        <v/>
      </c>
      <c r="J262" s="62" t="str">
        <f>IF(Biometria!J272=0,"",Biometria!J272)</f>
        <v/>
      </c>
      <c r="K262" s="62" t="str">
        <f>IF(Biometria!K272=0,"",Biometria!K272)</f>
        <v/>
      </c>
    </row>
    <row r="263" spans="1:11" x14ac:dyDescent="0.25">
      <c r="A263" s="62" t="str">
        <f>IF(LEN(B262)&gt;0,Biometria!A273,"")</f>
        <v/>
      </c>
      <c r="B263" s="62" t="str">
        <f>IF(LEN(Biometria!B273)=0,"",Biometria!B273)</f>
        <v/>
      </c>
      <c r="C263" s="62" t="str">
        <f>IF(Biometria!C273=0,"",Biometria!C273)</f>
        <v/>
      </c>
      <c r="D263" s="62" t="str">
        <f>IF(Biometria!D273=0,"",Biometria!D273)</f>
        <v/>
      </c>
      <c r="E263" s="62" t="str">
        <f>IF(Biometria!E273=0,"",Biometria!E273)</f>
        <v/>
      </c>
      <c r="F263" s="62" t="str">
        <f>IF(Biometria!F273=0,"",Biometria!F273)</f>
        <v/>
      </c>
      <c r="G263" s="62" t="str">
        <f>IF(Biometria!G273=0,"",Biometria!G273)</f>
        <v/>
      </c>
      <c r="H263" s="62" t="str">
        <f>IF(Biometria!H273=0,"",Biometria!H273)</f>
        <v/>
      </c>
      <c r="I263" s="62" t="str">
        <f>IF(Biometria!I273=0,"",Biometria!I273)</f>
        <v/>
      </c>
      <c r="J263" s="62" t="str">
        <f>IF(Biometria!J273=0,"",Biometria!J273)</f>
        <v/>
      </c>
      <c r="K263" s="62" t="str">
        <f>IF(Biometria!K273=0,"",Biometria!K273)</f>
        <v/>
      </c>
    </row>
    <row r="264" spans="1:11" x14ac:dyDescent="0.25">
      <c r="A264" s="62" t="str">
        <f>IF(LEN(B263)&gt;0,Biometria!A274,"")</f>
        <v/>
      </c>
      <c r="B264" s="62" t="str">
        <f>IF(LEN(Biometria!B274)=0,"",Biometria!B274)</f>
        <v/>
      </c>
      <c r="C264" s="62" t="str">
        <f>IF(Biometria!C274=0,"",Biometria!C274)</f>
        <v/>
      </c>
      <c r="D264" s="62" t="str">
        <f>IF(Biometria!D274=0,"",Biometria!D274)</f>
        <v/>
      </c>
      <c r="E264" s="62" t="str">
        <f>IF(Biometria!E274=0,"",Biometria!E274)</f>
        <v/>
      </c>
      <c r="F264" s="62" t="str">
        <f>IF(Biometria!F274=0,"",Biometria!F274)</f>
        <v/>
      </c>
      <c r="G264" s="62" t="str">
        <f>IF(Biometria!G274=0,"",Biometria!G274)</f>
        <v/>
      </c>
      <c r="H264" s="62" t="str">
        <f>IF(Biometria!H274=0,"",Biometria!H274)</f>
        <v/>
      </c>
      <c r="I264" s="62" t="str">
        <f>IF(Biometria!I274=0,"",Biometria!I274)</f>
        <v/>
      </c>
      <c r="J264" s="62" t="str">
        <f>IF(Biometria!J274=0,"",Biometria!J274)</f>
        <v/>
      </c>
      <c r="K264" s="62" t="str">
        <f>IF(Biometria!K274=0,"",Biometria!K274)</f>
        <v/>
      </c>
    </row>
    <row r="265" spans="1:11" x14ac:dyDescent="0.25">
      <c r="A265" s="62" t="str">
        <f>IF(LEN(B264)&gt;0,Biometria!A275,"")</f>
        <v/>
      </c>
      <c r="B265" s="62" t="str">
        <f>IF(LEN(Biometria!B275)=0,"",Biometria!B275)</f>
        <v/>
      </c>
      <c r="C265" s="62" t="str">
        <f>IF(Biometria!C275=0,"",Biometria!C275)</f>
        <v/>
      </c>
      <c r="D265" s="62" t="str">
        <f>IF(Biometria!D275=0,"",Biometria!D275)</f>
        <v/>
      </c>
      <c r="E265" s="62" t="str">
        <f>IF(Biometria!E275=0,"",Biometria!E275)</f>
        <v/>
      </c>
      <c r="F265" s="62" t="str">
        <f>IF(Biometria!F275=0,"",Biometria!F275)</f>
        <v/>
      </c>
      <c r="G265" s="62" t="str">
        <f>IF(Biometria!G275=0,"",Biometria!G275)</f>
        <v/>
      </c>
      <c r="H265" s="62" t="str">
        <f>IF(Biometria!H275=0,"",Biometria!H275)</f>
        <v/>
      </c>
      <c r="I265" s="62" t="str">
        <f>IF(Biometria!I275=0,"",Biometria!I275)</f>
        <v/>
      </c>
      <c r="J265" s="62" t="str">
        <f>IF(Biometria!J275=0,"",Biometria!J275)</f>
        <v/>
      </c>
      <c r="K265" s="62" t="str">
        <f>IF(Biometria!K275=0,"",Biometria!K275)</f>
        <v/>
      </c>
    </row>
    <row r="266" spans="1:11" x14ac:dyDescent="0.25">
      <c r="A266" s="62" t="str">
        <f>IF(LEN(B265)&gt;0,Biometria!A276,"")</f>
        <v/>
      </c>
      <c r="B266" s="62" t="str">
        <f>IF(LEN(Biometria!B276)=0,"",Biometria!B276)</f>
        <v/>
      </c>
      <c r="C266" s="62" t="str">
        <f>IF(Biometria!C276=0,"",Biometria!C276)</f>
        <v/>
      </c>
      <c r="D266" s="62" t="str">
        <f>IF(Biometria!D276=0,"",Biometria!D276)</f>
        <v/>
      </c>
      <c r="E266" s="62" t="str">
        <f>IF(Biometria!E276=0,"",Biometria!E276)</f>
        <v/>
      </c>
      <c r="F266" s="62" t="str">
        <f>IF(Biometria!F276=0,"",Biometria!F276)</f>
        <v/>
      </c>
      <c r="G266" s="62" t="str">
        <f>IF(Biometria!G276=0,"",Biometria!G276)</f>
        <v/>
      </c>
      <c r="H266" s="62" t="str">
        <f>IF(Biometria!H276=0,"",Biometria!H276)</f>
        <v/>
      </c>
      <c r="I266" s="62" t="str">
        <f>IF(Biometria!I276=0,"",Biometria!I276)</f>
        <v/>
      </c>
      <c r="J266" s="62" t="str">
        <f>IF(Biometria!J276=0,"",Biometria!J276)</f>
        <v/>
      </c>
      <c r="K266" s="62" t="str">
        <f>IF(Biometria!K276=0,"",Biometria!K276)</f>
        <v/>
      </c>
    </row>
    <row r="267" spans="1:11" x14ac:dyDescent="0.25">
      <c r="A267" s="62" t="str">
        <f>IF(LEN(B266)&gt;0,Biometria!A277,"")</f>
        <v/>
      </c>
      <c r="B267" s="62" t="str">
        <f>IF(LEN(Biometria!B277)=0,"",Biometria!B277)</f>
        <v/>
      </c>
      <c r="C267" s="62" t="str">
        <f>IF(Biometria!C277=0,"",Biometria!C277)</f>
        <v/>
      </c>
      <c r="D267" s="62" t="str">
        <f>IF(Biometria!D277=0,"",Biometria!D277)</f>
        <v/>
      </c>
      <c r="E267" s="62" t="str">
        <f>IF(Biometria!E277=0,"",Biometria!E277)</f>
        <v/>
      </c>
      <c r="F267" s="62" t="str">
        <f>IF(Biometria!F277=0,"",Biometria!F277)</f>
        <v/>
      </c>
      <c r="G267" s="62" t="str">
        <f>IF(Biometria!G277=0,"",Biometria!G277)</f>
        <v/>
      </c>
      <c r="H267" s="62" t="str">
        <f>IF(Biometria!H277=0,"",Biometria!H277)</f>
        <v/>
      </c>
      <c r="I267" s="62" t="str">
        <f>IF(Biometria!I277=0,"",Biometria!I277)</f>
        <v/>
      </c>
      <c r="J267" s="62" t="str">
        <f>IF(Biometria!J277=0,"",Biometria!J277)</f>
        <v/>
      </c>
      <c r="K267" s="62" t="str">
        <f>IF(Biometria!K277=0,"",Biometria!K277)</f>
        <v/>
      </c>
    </row>
    <row r="268" spans="1:11" x14ac:dyDescent="0.25">
      <c r="A268" s="62" t="str">
        <f>IF(LEN(B267)&gt;0,Biometria!A278,"")</f>
        <v/>
      </c>
      <c r="B268" s="62" t="str">
        <f>IF(LEN(Biometria!B278)=0,"",Biometria!B278)</f>
        <v/>
      </c>
      <c r="C268" s="62" t="str">
        <f>IF(Biometria!C278=0,"",Biometria!C278)</f>
        <v/>
      </c>
      <c r="D268" s="62" t="str">
        <f>IF(Biometria!D278=0,"",Biometria!D278)</f>
        <v/>
      </c>
      <c r="E268" s="62" t="str">
        <f>IF(Biometria!E278=0,"",Biometria!E278)</f>
        <v/>
      </c>
      <c r="F268" s="62" t="str">
        <f>IF(Biometria!F278=0,"",Biometria!F278)</f>
        <v/>
      </c>
      <c r="G268" s="62" t="str">
        <f>IF(Biometria!G278=0,"",Biometria!G278)</f>
        <v/>
      </c>
      <c r="H268" s="62" t="str">
        <f>IF(Biometria!H278=0,"",Biometria!H278)</f>
        <v/>
      </c>
      <c r="I268" s="62" t="str">
        <f>IF(Biometria!I278=0,"",Biometria!I278)</f>
        <v/>
      </c>
      <c r="J268" s="62" t="str">
        <f>IF(Biometria!J278=0,"",Biometria!J278)</f>
        <v/>
      </c>
      <c r="K268" s="62" t="str">
        <f>IF(Biometria!K278=0,"",Biometria!K278)</f>
        <v/>
      </c>
    </row>
    <row r="269" spans="1:11" x14ac:dyDescent="0.25">
      <c r="A269" s="62" t="str">
        <f>IF(LEN(B268)&gt;0,Biometria!A279,"")</f>
        <v/>
      </c>
      <c r="B269" s="62" t="str">
        <f>IF(LEN(Biometria!B279)=0,"",Biometria!B279)</f>
        <v/>
      </c>
      <c r="C269" s="62" t="str">
        <f>IF(Biometria!C279=0,"",Biometria!C279)</f>
        <v/>
      </c>
      <c r="D269" s="62" t="str">
        <f>IF(Biometria!D279=0,"",Biometria!D279)</f>
        <v/>
      </c>
      <c r="E269" s="62" t="str">
        <f>IF(Biometria!E279=0,"",Biometria!E279)</f>
        <v/>
      </c>
      <c r="F269" s="62" t="str">
        <f>IF(Biometria!F279=0,"",Biometria!F279)</f>
        <v/>
      </c>
      <c r="G269" s="62" t="str">
        <f>IF(Biometria!G279=0,"",Biometria!G279)</f>
        <v/>
      </c>
      <c r="H269" s="62" t="str">
        <f>IF(Biometria!H279=0,"",Biometria!H279)</f>
        <v/>
      </c>
      <c r="I269" s="62" t="str">
        <f>IF(Biometria!I279=0,"",Biometria!I279)</f>
        <v/>
      </c>
      <c r="J269" s="62" t="str">
        <f>IF(Biometria!J279=0,"",Biometria!J279)</f>
        <v/>
      </c>
      <c r="K269" s="62" t="str">
        <f>IF(Biometria!K279=0,"",Biometria!K279)</f>
        <v/>
      </c>
    </row>
    <row r="270" spans="1:11" x14ac:dyDescent="0.25">
      <c r="A270" s="62" t="str">
        <f>IF(LEN(B269)&gt;0,Biometria!A280,"")</f>
        <v/>
      </c>
      <c r="B270" s="62" t="str">
        <f>IF(LEN(Biometria!B280)=0,"",Biometria!B280)</f>
        <v/>
      </c>
      <c r="C270" s="62" t="str">
        <f>IF(Biometria!C280=0,"",Biometria!C280)</f>
        <v/>
      </c>
      <c r="D270" s="62" t="str">
        <f>IF(Biometria!D280=0,"",Biometria!D280)</f>
        <v/>
      </c>
      <c r="E270" s="62" t="str">
        <f>IF(Biometria!E280=0,"",Biometria!E280)</f>
        <v/>
      </c>
      <c r="F270" s="62" t="str">
        <f>IF(Biometria!F280=0,"",Biometria!F280)</f>
        <v/>
      </c>
      <c r="G270" s="62" t="str">
        <f>IF(Biometria!G280=0,"",Biometria!G280)</f>
        <v/>
      </c>
      <c r="H270" s="62" t="str">
        <f>IF(Biometria!H280=0,"",Biometria!H280)</f>
        <v/>
      </c>
      <c r="I270" s="62" t="str">
        <f>IF(Biometria!I280=0,"",Biometria!I280)</f>
        <v/>
      </c>
      <c r="J270" s="62" t="str">
        <f>IF(Biometria!J280=0,"",Biometria!J280)</f>
        <v/>
      </c>
      <c r="K270" s="62" t="str">
        <f>IF(Biometria!K280=0,"",Biometria!K280)</f>
        <v/>
      </c>
    </row>
    <row r="271" spans="1:11" x14ac:dyDescent="0.25">
      <c r="A271" s="62" t="str">
        <f>IF(LEN(B270)&gt;0,Biometria!A281,"")</f>
        <v/>
      </c>
      <c r="B271" s="62" t="str">
        <f>IF(LEN(Biometria!B281)=0,"",Biometria!B281)</f>
        <v/>
      </c>
      <c r="C271" s="62" t="str">
        <f>IF(Biometria!C281=0,"",Biometria!C281)</f>
        <v/>
      </c>
      <c r="D271" s="62" t="str">
        <f>IF(Biometria!D281=0,"",Biometria!D281)</f>
        <v/>
      </c>
      <c r="E271" s="62" t="str">
        <f>IF(Biometria!E281=0,"",Biometria!E281)</f>
        <v/>
      </c>
      <c r="F271" s="62" t="str">
        <f>IF(Biometria!F281=0,"",Biometria!F281)</f>
        <v/>
      </c>
      <c r="G271" s="62" t="str">
        <f>IF(Biometria!G281=0,"",Biometria!G281)</f>
        <v/>
      </c>
      <c r="H271" s="62" t="str">
        <f>IF(Biometria!H281=0,"",Biometria!H281)</f>
        <v/>
      </c>
      <c r="I271" s="62" t="str">
        <f>IF(Biometria!I281=0,"",Biometria!I281)</f>
        <v/>
      </c>
      <c r="J271" s="62" t="str">
        <f>IF(Biometria!J281=0,"",Biometria!J281)</f>
        <v/>
      </c>
      <c r="K271" s="62" t="str">
        <f>IF(Biometria!K281=0,"",Biometria!K281)</f>
        <v/>
      </c>
    </row>
    <row r="272" spans="1:11" x14ac:dyDescent="0.25">
      <c r="A272" s="62" t="str">
        <f>IF(LEN(B271)&gt;0,Biometria!A282,"")</f>
        <v/>
      </c>
      <c r="B272" s="62" t="str">
        <f>IF(LEN(Biometria!B282)=0,"",Biometria!B282)</f>
        <v/>
      </c>
      <c r="C272" s="62" t="str">
        <f>IF(Biometria!C282=0,"",Biometria!C282)</f>
        <v/>
      </c>
      <c r="D272" s="62" t="str">
        <f>IF(Biometria!D282=0,"",Biometria!D282)</f>
        <v/>
      </c>
      <c r="E272" s="62" t="str">
        <f>IF(Biometria!E282=0,"",Biometria!E282)</f>
        <v/>
      </c>
      <c r="F272" s="62" t="str">
        <f>IF(Biometria!F282=0,"",Biometria!F282)</f>
        <v/>
      </c>
      <c r="G272" s="62" t="str">
        <f>IF(Biometria!G282=0,"",Biometria!G282)</f>
        <v/>
      </c>
      <c r="H272" s="62" t="str">
        <f>IF(Biometria!H282=0,"",Biometria!H282)</f>
        <v/>
      </c>
      <c r="I272" s="62" t="str">
        <f>IF(Biometria!I282=0,"",Biometria!I282)</f>
        <v/>
      </c>
      <c r="J272" s="62" t="str">
        <f>IF(Biometria!J282=0,"",Biometria!J282)</f>
        <v/>
      </c>
      <c r="K272" s="62" t="str">
        <f>IF(Biometria!K282=0,"",Biometria!K282)</f>
        <v/>
      </c>
    </row>
    <row r="273" spans="1:11" x14ac:dyDescent="0.25">
      <c r="A273" s="62" t="str">
        <f>IF(LEN(B272)&gt;0,Biometria!A283,"")</f>
        <v/>
      </c>
      <c r="B273" s="62" t="str">
        <f>IF(LEN(Biometria!B283)=0,"",Biometria!B283)</f>
        <v/>
      </c>
      <c r="C273" s="62" t="str">
        <f>IF(Biometria!C283=0,"",Biometria!C283)</f>
        <v/>
      </c>
      <c r="D273" s="62" t="str">
        <f>IF(Biometria!D283=0,"",Biometria!D283)</f>
        <v/>
      </c>
      <c r="E273" s="62" t="str">
        <f>IF(Biometria!E283=0,"",Biometria!E283)</f>
        <v/>
      </c>
      <c r="F273" s="62" t="str">
        <f>IF(Biometria!F283=0,"",Biometria!F283)</f>
        <v/>
      </c>
      <c r="G273" s="62" t="str">
        <f>IF(Biometria!G283=0,"",Biometria!G283)</f>
        <v/>
      </c>
      <c r="H273" s="62" t="str">
        <f>IF(Biometria!H283=0,"",Biometria!H283)</f>
        <v/>
      </c>
      <c r="I273" s="62" t="str">
        <f>IF(Biometria!I283=0,"",Biometria!I283)</f>
        <v/>
      </c>
      <c r="J273" s="62" t="str">
        <f>IF(Biometria!J283=0,"",Biometria!J283)</f>
        <v/>
      </c>
      <c r="K273" s="62" t="str">
        <f>IF(Biometria!K283=0,"",Biometria!K283)</f>
        <v/>
      </c>
    </row>
    <row r="274" spans="1:11" x14ac:dyDescent="0.25">
      <c r="A274" s="62" t="str">
        <f>IF(LEN(B273)&gt;0,Biometria!A284,"")</f>
        <v/>
      </c>
      <c r="B274" s="62" t="str">
        <f>IF(LEN(Biometria!B284)=0,"",Biometria!B284)</f>
        <v/>
      </c>
      <c r="C274" s="62" t="str">
        <f>IF(Biometria!C284=0,"",Biometria!C284)</f>
        <v/>
      </c>
      <c r="D274" s="62" t="str">
        <f>IF(Biometria!D284=0,"",Biometria!D284)</f>
        <v/>
      </c>
      <c r="E274" s="62" t="str">
        <f>IF(Biometria!E284=0,"",Biometria!E284)</f>
        <v/>
      </c>
      <c r="F274" s="62" t="str">
        <f>IF(Biometria!F284=0,"",Biometria!F284)</f>
        <v/>
      </c>
      <c r="G274" s="62" t="str">
        <f>IF(Biometria!G284=0,"",Biometria!G284)</f>
        <v/>
      </c>
      <c r="H274" s="62" t="str">
        <f>IF(Biometria!H284=0,"",Biometria!H284)</f>
        <v/>
      </c>
      <c r="I274" s="62" t="str">
        <f>IF(Biometria!I284=0,"",Biometria!I284)</f>
        <v/>
      </c>
      <c r="J274" s="62" t="str">
        <f>IF(Biometria!J284=0,"",Biometria!J284)</f>
        <v/>
      </c>
      <c r="K274" s="62" t="str">
        <f>IF(Biometria!K284=0,"",Biometria!K284)</f>
        <v/>
      </c>
    </row>
    <row r="275" spans="1:11" x14ac:dyDescent="0.25">
      <c r="A275" s="62" t="str">
        <f>IF(LEN(B274)&gt;0,Biometria!A285,"")</f>
        <v/>
      </c>
      <c r="B275" s="62" t="str">
        <f>IF(LEN(Biometria!B285)=0,"",Biometria!B285)</f>
        <v/>
      </c>
      <c r="C275" s="62" t="str">
        <f>IF(Biometria!C285=0,"",Biometria!C285)</f>
        <v/>
      </c>
      <c r="D275" s="62" t="str">
        <f>IF(Biometria!D285=0,"",Biometria!D285)</f>
        <v/>
      </c>
      <c r="E275" s="62" t="str">
        <f>IF(Biometria!E285=0,"",Biometria!E285)</f>
        <v/>
      </c>
      <c r="F275" s="62" t="str">
        <f>IF(Biometria!F285=0,"",Biometria!F285)</f>
        <v/>
      </c>
      <c r="G275" s="62" t="str">
        <f>IF(Biometria!G285=0,"",Biometria!G285)</f>
        <v/>
      </c>
      <c r="H275" s="62" t="str">
        <f>IF(Biometria!H285=0,"",Biometria!H285)</f>
        <v/>
      </c>
      <c r="I275" s="62" t="str">
        <f>IF(Biometria!I285=0,"",Biometria!I285)</f>
        <v/>
      </c>
      <c r="J275" s="62" t="str">
        <f>IF(Biometria!J285=0,"",Biometria!J285)</f>
        <v/>
      </c>
      <c r="K275" s="62" t="str">
        <f>IF(Biometria!K285=0,"",Biometria!K285)</f>
        <v/>
      </c>
    </row>
    <row r="276" spans="1:11" x14ac:dyDescent="0.25">
      <c r="A276" s="62" t="str">
        <f>IF(LEN(B275)&gt;0,Biometria!A286,"")</f>
        <v/>
      </c>
      <c r="B276" s="62" t="str">
        <f>IF(LEN(Biometria!B286)=0,"",Biometria!B286)</f>
        <v/>
      </c>
      <c r="C276" s="62" t="str">
        <f>IF(Biometria!C286=0,"",Biometria!C286)</f>
        <v/>
      </c>
      <c r="D276" s="62" t="str">
        <f>IF(Biometria!D286=0,"",Biometria!D286)</f>
        <v/>
      </c>
      <c r="E276" s="62" t="str">
        <f>IF(Biometria!E286=0,"",Biometria!E286)</f>
        <v/>
      </c>
      <c r="F276" s="62" t="str">
        <f>IF(Biometria!F286=0,"",Biometria!F286)</f>
        <v/>
      </c>
      <c r="G276" s="62" t="str">
        <f>IF(Biometria!G286=0,"",Biometria!G286)</f>
        <v/>
      </c>
      <c r="H276" s="62" t="str">
        <f>IF(Biometria!H286=0,"",Biometria!H286)</f>
        <v/>
      </c>
      <c r="I276" s="62" t="str">
        <f>IF(Biometria!I286=0,"",Biometria!I286)</f>
        <v/>
      </c>
      <c r="J276" s="62" t="str">
        <f>IF(Biometria!J286=0,"",Biometria!J286)</f>
        <v/>
      </c>
      <c r="K276" s="62" t="str">
        <f>IF(Biometria!K286=0,"",Biometria!K286)</f>
        <v/>
      </c>
    </row>
    <row r="277" spans="1:11" x14ac:dyDescent="0.25">
      <c r="A277" s="62" t="str">
        <f>IF(LEN(B276)&gt;0,Biometria!A287,"")</f>
        <v/>
      </c>
      <c r="B277" s="62" t="str">
        <f>IF(LEN(Biometria!B287)=0,"",Biometria!B287)</f>
        <v/>
      </c>
      <c r="C277" s="62" t="str">
        <f>IF(Biometria!C287=0,"",Biometria!C287)</f>
        <v/>
      </c>
      <c r="D277" s="62" t="str">
        <f>IF(Biometria!D287=0,"",Biometria!D287)</f>
        <v/>
      </c>
      <c r="E277" s="62" t="str">
        <f>IF(Biometria!E287=0,"",Biometria!E287)</f>
        <v/>
      </c>
      <c r="F277" s="62" t="str">
        <f>IF(Biometria!F287=0,"",Biometria!F287)</f>
        <v/>
      </c>
      <c r="G277" s="62" t="str">
        <f>IF(Biometria!G287=0,"",Biometria!G287)</f>
        <v/>
      </c>
      <c r="H277" s="62" t="str">
        <f>IF(Biometria!H287=0,"",Biometria!H287)</f>
        <v/>
      </c>
      <c r="I277" s="62" t="str">
        <f>IF(Biometria!I287=0,"",Biometria!I287)</f>
        <v/>
      </c>
      <c r="J277" s="62" t="str">
        <f>IF(Biometria!J287=0,"",Biometria!J287)</f>
        <v/>
      </c>
      <c r="K277" s="62" t="str">
        <f>IF(Biometria!K287=0,"",Biometria!K287)</f>
        <v/>
      </c>
    </row>
    <row r="278" spans="1:11" x14ac:dyDescent="0.25">
      <c r="A278" s="62" t="str">
        <f>IF(LEN(B277)&gt;0,Biometria!A288,"")</f>
        <v/>
      </c>
      <c r="B278" s="62" t="str">
        <f>IF(LEN(Biometria!B288)=0,"",Biometria!B288)</f>
        <v/>
      </c>
      <c r="C278" s="62" t="str">
        <f>IF(Biometria!C288=0,"",Biometria!C288)</f>
        <v/>
      </c>
      <c r="D278" s="62" t="str">
        <f>IF(Biometria!D288=0,"",Biometria!D288)</f>
        <v/>
      </c>
      <c r="E278" s="62" t="str">
        <f>IF(Biometria!E288=0,"",Biometria!E288)</f>
        <v/>
      </c>
      <c r="F278" s="62" t="str">
        <f>IF(Biometria!F288=0,"",Biometria!F288)</f>
        <v/>
      </c>
      <c r="G278" s="62" t="str">
        <f>IF(Biometria!G288=0,"",Biometria!G288)</f>
        <v/>
      </c>
      <c r="H278" s="62" t="str">
        <f>IF(Biometria!H288=0,"",Biometria!H288)</f>
        <v/>
      </c>
      <c r="I278" s="62" t="str">
        <f>IF(Biometria!I288=0,"",Biometria!I288)</f>
        <v/>
      </c>
      <c r="J278" s="62" t="str">
        <f>IF(Biometria!J288=0,"",Biometria!J288)</f>
        <v/>
      </c>
      <c r="K278" s="62" t="str">
        <f>IF(Biometria!K288=0,"",Biometria!K288)</f>
        <v/>
      </c>
    </row>
    <row r="279" spans="1:11" x14ac:dyDescent="0.25">
      <c r="A279" s="62" t="str">
        <f>IF(LEN(B278)&gt;0,Biometria!A289,"")</f>
        <v/>
      </c>
      <c r="B279" s="62" t="str">
        <f>IF(LEN(Biometria!B289)=0,"",Biometria!B289)</f>
        <v/>
      </c>
      <c r="C279" s="62" t="str">
        <f>IF(Biometria!C289=0,"",Biometria!C289)</f>
        <v/>
      </c>
      <c r="D279" s="62" t="str">
        <f>IF(Biometria!D289=0,"",Biometria!D289)</f>
        <v/>
      </c>
      <c r="E279" s="62" t="str">
        <f>IF(Biometria!E289=0,"",Biometria!E289)</f>
        <v/>
      </c>
      <c r="F279" s="62" t="str">
        <f>IF(Biometria!F289=0,"",Biometria!F289)</f>
        <v/>
      </c>
      <c r="G279" s="62" t="str">
        <f>IF(Biometria!G289=0,"",Biometria!G289)</f>
        <v/>
      </c>
      <c r="H279" s="62" t="str">
        <f>IF(Biometria!H289=0,"",Biometria!H289)</f>
        <v/>
      </c>
      <c r="I279" s="62" t="str">
        <f>IF(Biometria!I289=0,"",Biometria!I289)</f>
        <v/>
      </c>
      <c r="J279" s="62" t="str">
        <f>IF(Biometria!J289=0,"",Biometria!J289)</f>
        <v/>
      </c>
      <c r="K279" s="62" t="str">
        <f>IF(Biometria!K289=0,"",Biometria!K289)</f>
        <v/>
      </c>
    </row>
    <row r="280" spans="1:11" x14ac:dyDescent="0.25">
      <c r="A280" s="62" t="str">
        <f>IF(LEN(B279)&gt;0,Biometria!A290,"")</f>
        <v/>
      </c>
      <c r="B280" s="62" t="str">
        <f>IF(LEN(Biometria!B290)=0,"",Biometria!B290)</f>
        <v/>
      </c>
      <c r="C280" s="62" t="str">
        <f>IF(Biometria!C290=0,"",Biometria!C290)</f>
        <v/>
      </c>
      <c r="D280" s="62" t="str">
        <f>IF(Biometria!D290=0,"",Biometria!D290)</f>
        <v/>
      </c>
      <c r="E280" s="62" t="str">
        <f>IF(Biometria!E290=0,"",Biometria!E290)</f>
        <v/>
      </c>
      <c r="F280" s="62" t="str">
        <f>IF(Biometria!F290=0,"",Biometria!F290)</f>
        <v/>
      </c>
      <c r="G280" s="62" t="str">
        <f>IF(Biometria!G290=0,"",Biometria!G290)</f>
        <v/>
      </c>
      <c r="H280" s="62" t="str">
        <f>IF(Biometria!H290=0,"",Biometria!H290)</f>
        <v/>
      </c>
      <c r="I280" s="62" t="str">
        <f>IF(Biometria!I290=0,"",Biometria!I290)</f>
        <v/>
      </c>
      <c r="J280" s="62" t="str">
        <f>IF(Biometria!J290=0,"",Biometria!J290)</f>
        <v/>
      </c>
      <c r="K280" s="62" t="str">
        <f>IF(Biometria!K290=0,"",Biometria!K290)</f>
        <v/>
      </c>
    </row>
    <row r="281" spans="1:11" x14ac:dyDescent="0.25">
      <c r="A281" s="62" t="str">
        <f>IF(LEN(B280)&gt;0,Biometria!A291,"")</f>
        <v/>
      </c>
      <c r="B281" s="62" t="str">
        <f>IF(LEN(Biometria!B291)=0,"",Biometria!B291)</f>
        <v/>
      </c>
      <c r="C281" s="62" t="str">
        <f>IF(Biometria!C291=0,"",Biometria!C291)</f>
        <v/>
      </c>
      <c r="D281" s="62" t="str">
        <f>IF(Biometria!D291=0,"",Biometria!D291)</f>
        <v/>
      </c>
      <c r="E281" s="62" t="str">
        <f>IF(Biometria!E291=0,"",Biometria!E291)</f>
        <v/>
      </c>
      <c r="F281" s="62" t="str">
        <f>IF(Biometria!F291=0,"",Biometria!F291)</f>
        <v/>
      </c>
      <c r="G281" s="62" t="str">
        <f>IF(Biometria!G291=0,"",Biometria!G291)</f>
        <v/>
      </c>
      <c r="H281" s="62" t="str">
        <f>IF(Biometria!H291=0,"",Biometria!H291)</f>
        <v/>
      </c>
      <c r="I281" s="62" t="str">
        <f>IF(Biometria!I291=0,"",Biometria!I291)</f>
        <v/>
      </c>
      <c r="J281" s="62" t="str">
        <f>IF(Biometria!J291=0,"",Biometria!J291)</f>
        <v/>
      </c>
      <c r="K281" s="62" t="str">
        <f>IF(Biometria!K291=0,"",Biometria!K291)</f>
        <v/>
      </c>
    </row>
    <row r="282" spans="1:11" x14ac:dyDescent="0.25">
      <c r="A282" s="62" t="str">
        <f>IF(LEN(B281)&gt;0,Biometria!A292,"")</f>
        <v/>
      </c>
      <c r="B282" s="62" t="str">
        <f>IF(LEN(Biometria!B292)=0,"",Biometria!B292)</f>
        <v/>
      </c>
      <c r="C282" s="62" t="str">
        <f>IF(Biometria!C292=0,"",Biometria!C292)</f>
        <v/>
      </c>
      <c r="D282" s="62" t="str">
        <f>IF(Biometria!D292=0,"",Biometria!D292)</f>
        <v/>
      </c>
      <c r="E282" s="62" t="str">
        <f>IF(Biometria!E292=0,"",Biometria!E292)</f>
        <v/>
      </c>
      <c r="F282" s="62" t="str">
        <f>IF(Biometria!F292=0,"",Biometria!F292)</f>
        <v/>
      </c>
      <c r="G282" s="62" t="str">
        <f>IF(Biometria!G292=0,"",Biometria!G292)</f>
        <v/>
      </c>
      <c r="H282" s="62" t="str">
        <f>IF(Biometria!H292=0,"",Biometria!H292)</f>
        <v/>
      </c>
      <c r="I282" s="62" t="str">
        <f>IF(Biometria!I292=0,"",Biometria!I292)</f>
        <v/>
      </c>
      <c r="J282" s="62" t="str">
        <f>IF(Biometria!J292=0,"",Biometria!J292)</f>
        <v/>
      </c>
      <c r="K282" s="62" t="str">
        <f>IF(Biometria!K292=0,"",Biometria!K292)</f>
        <v/>
      </c>
    </row>
    <row r="283" spans="1:11" x14ac:dyDescent="0.25">
      <c r="A283" s="62" t="str">
        <f>IF(LEN(B282)&gt;0,Biometria!A293,"")</f>
        <v/>
      </c>
      <c r="B283" s="62" t="str">
        <f>IF(LEN(Biometria!B293)=0,"",Biometria!B293)</f>
        <v/>
      </c>
      <c r="C283" s="62" t="str">
        <f>IF(Biometria!C293=0,"",Biometria!C293)</f>
        <v/>
      </c>
      <c r="D283" s="62" t="str">
        <f>IF(Biometria!D293=0,"",Biometria!D293)</f>
        <v/>
      </c>
      <c r="E283" s="62" t="str">
        <f>IF(Biometria!E293=0,"",Biometria!E293)</f>
        <v/>
      </c>
      <c r="F283" s="62" t="str">
        <f>IF(Biometria!F293=0,"",Biometria!F293)</f>
        <v/>
      </c>
      <c r="G283" s="62" t="str">
        <f>IF(Biometria!G293=0,"",Biometria!G293)</f>
        <v/>
      </c>
      <c r="H283" s="62" t="str">
        <f>IF(Biometria!H293=0,"",Biometria!H293)</f>
        <v/>
      </c>
      <c r="I283" s="62" t="str">
        <f>IF(Biometria!I293=0,"",Biometria!I293)</f>
        <v/>
      </c>
      <c r="J283" s="62" t="str">
        <f>IF(Biometria!J293=0,"",Biometria!J293)</f>
        <v/>
      </c>
      <c r="K283" s="62" t="str">
        <f>IF(Biometria!K293=0,"",Biometria!K293)</f>
        <v/>
      </c>
    </row>
    <row r="284" spans="1:11" x14ac:dyDescent="0.25">
      <c r="A284" s="62" t="str">
        <f>IF(LEN(B283)&gt;0,Biometria!A294,"")</f>
        <v/>
      </c>
      <c r="B284" s="62" t="str">
        <f>IF(LEN(Biometria!B294)=0,"",Biometria!B294)</f>
        <v/>
      </c>
      <c r="C284" s="62" t="str">
        <f>IF(Biometria!C294=0,"",Biometria!C294)</f>
        <v/>
      </c>
      <c r="D284" s="62" t="str">
        <f>IF(Biometria!D294=0,"",Biometria!D294)</f>
        <v/>
      </c>
      <c r="E284" s="62" t="str">
        <f>IF(Biometria!E294=0,"",Biometria!E294)</f>
        <v/>
      </c>
      <c r="F284" s="62" t="str">
        <f>IF(Biometria!F294=0,"",Biometria!F294)</f>
        <v/>
      </c>
      <c r="G284" s="62" t="str">
        <f>IF(Biometria!G294=0,"",Biometria!G294)</f>
        <v/>
      </c>
      <c r="H284" s="62" t="str">
        <f>IF(Biometria!H294=0,"",Biometria!H294)</f>
        <v/>
      </c>
      <c r="I284" s="62" t="str">
        <f>IF(Biometria!I294=0,"",Biometria!I294)</f>
        <v/>
      </c>
      <c r="J284" s="62" t="str">
        <f>IF(Biometria!J294=0,"",Biometria!J294)</f>
        <v/>
      </c>
      <c r="K284" s="62" t="str">
        <f>IF(Biometria!K294=0,"",Biometria!K294)</f>
        <v/>
      </c>
    </row>
    <row r="285" spans="1:11" x14ac:dyDescent="0.25">
      <c r="A285" s="62" t="str">
        <f>IF(LEN(B284)&gt;0,Biometria!A295,"")</f>
        <v/>
      </c>
      <c r="B285" s="62" t="str">
        <f>IF(LEN(Biometria!B295)=0,"",Biometria!B295)</f>
        <v/>
      </c>
      <c r="C285" s="62" t="str">
        <f>IF(Biometria!C295=0,"",Biometria!C295)</f>
        <v/>
      </c>
      <c r="D285" s="62" t="str">
        <f>IF(Biometria!D295=0,"",Biometria!D295)</f>
        <v/>
      </c>
      <c r="E285" s="62" t="str">
        <f>IF(Biometria!E295=0,"",Biometria!E295)</f>
        <v/>
      </c>
      <c r="F285" s="62" t="str">
        <f>IF(Biometria!F295=0,"",Biometria!F295)</f>
        <v/>
      </c>
      <c r="G285" s="62" t="str">
        <f>IF(Biometria!G295=0,"",Biometria!G295)</f>
        <v/>
      </c>
      <c r="H285" s="62" t="str">
        <f>IF(Biometria!H295=0,"",Biometria!H295)</f>
        <v/>
      </c>
      <c r="I285" s="62" t="str">
        <f>IF(Biometria!I295=0,"",Biometria!I295)</f>
        <v/>
      </c>
      <c r="J285" s="62" t="str">
        <f>IF(Biometria!J295=0,"",Biometria!J295)</f>
        <v/>
      </c>
      <c r="K285" s="62" t="str">
        <f>IF(Biometria!K295=0,"",Biometria!K295)</f>
        <v/>
      </c>
    </row>
    <row r="286" spans="1:11" x14ac:dyDescent="0.25">
      <c r="A286" s="62" t="str">
        <f>IF(LEN(B285)&gt;0,Biometria!A296,"")</f>
        <v/>
      </c>
      <c r="B286" s="62" t="str">
        <f>IF(LEN(Biometria!B296)=0,"",Biometria!B296)</f>
        <v/>
      </c>
      <c r="C286" s="62" t="str">
        <f>IF(Biometria!C296=0,"",Biometria!C296)</f>
        <v/>
      </c>
      <c r="D286" s="62" t="str">
        <f>IF(Biometria!D296=0,"",Biometria!D296)</f>
        <v/>
      </c>
      <c r="E286" s="62" t="str">
        <f>IF(Biometria!E296=0,"",Biometria!E296)</f>
        <v/>
      </c>
      <c r="F286" s="62" t="str">
        <f>IF(Biometria!F296=0,"",Biometria!F296)</f>
        <v/>
      </c>
      <c r="G286" s="62" t="str">
        <f>IF(Biometria!G296=0,"",Biometria!G296)</f>
        <v/>
      </c>
      <c r="H286" s="62" t="str">
        <f>IF(Biometria!H296=0,"",Biometria!H296)</f>
        <v/>
      </c>
      <c r="I286" s="62" t="str">
        <f>IF(Biometria!I296=0,"",Biometria!I296)</f>
        <v/>
      </c>
      <c r="J286" s="62" t="str">
        <f>IF(Biometria!J296=0,"",Biometria!J296)</f>
        <v/>
      </c>
      <c r="K286" s="62" t="str">
        <f>IF(Biometria!K296=0,"",Biometria!K296)</f>
        <v/>
      </c>
    </row>
    <row r="287" spans="1:11" x14ac:dyDescent="0.25">
      <c r="A287" s="62" t="str">
        <f>IF(LEN(B286)&gt;0,Biometria!A297,"")</f>
        <v/>
      </c>
      <c r="B287" s="62" t="str">
        <f>IF(LEN(Biometria!B297)=0,"",Biometria!B297)</f>
        <v/>
      </c>
      <c r="C287" s="62" t="str">
        <f>IF(Biometria!C297=0,"",Biometria!C297)</f>
        <v/>
      </c>
      <c r="D287" s="62" t="str">
        <f>IF(Biometria!D297=0,"",Biometria!D297)</f>
        <v/>
      </c>
      <c r="E287" s="62" t="str">
        <f>IF(Biometria!E297=0,"",Biometria!E297)</f>
        <v/>
      </c>
      <c r="F287" s="62" t="str">
        <f>IF(Biometria!F297=0,"",Biometria!F297)</f>
        <v/>
      </c>
      <c r="G287" s="62" t="str">
        <f>IF(Biometria!G297=0,"",Biometria!G297)</f>
        <v/>
      </c>
      <c r="H287" s="62" t="str">
        <f>IF(Biometria!H297=0,"",Biometria!H297)</f>
        <v/>
      </c>
      <c r="I287" s="62" t="str">
        <f>IF(Biometria!I297=0,"",Biometria!I297)</f>
        <v/>
      </c>
      <c r="J287" s="62" t="str">
        <f>IF(Biometria!J297=0,"",Biometria!J297)</f>
        <v/>
      </c>
      <c r="K287" s="62" t="str">
        <f>IF(Biometria!K297=0,"",Biometria!K297)</f>
        <v/>
      </c>
    </row>
    <row r="288" spans="1:11" x14ac:dyDescent="0.25">
      <c r="A288" s="62" t="str">
        <f>IF(LEN(B287)&gt;0,Biometria!A298,"")</f>
        <v/>
      </c>
      <c r="B288" s="62" t="str">
        <f>IF(LEN(Biometria!B298)=0,"",Biometria!B298)</f>
        <v/>
      </c>
      <c r="C288" s="62" t="str">
        <f>IF(Biometria!C298=0,"",Biometria!C298)</f>
        <v/>
      </c>
      <c r="D288" s="62" t="str">
        <f>IF(Biometria!D298=0,"",Biometria!D298)</f>
        <v/>
      </c>
      <c r="E288" s="62" t="str">
        <f>IF(Biometria!E298=0,"",Biometria!E298)</f>
        <v/>
      </c>
      <c r="F288" s="62" t="str">
        <f>IF(Biometria!F298=0,"",Biometria!F298)</f>
        <v/>
      </c>
      <c r="G288" s="62" t="str">
        <f>IF(Biometria!G298=0,"",Biometria!G298)</f>
        <v/>
      </c>
      <c r="H288" s="62" t="str">
        <f>IF(Biometria!H298=0,"",Biometria!H298)</f>
        <v/>
      </c>
      <c r="I288" s="62" t="str">
        <f>IF(Biometria!I298=0,"",Biometria!I298)</f>
        <v/>
      </c>
      <c r="J288" s="62" t="str">
        <f>IF(Biometria!J298=0,"",Biometria!J298)</f>
        <v/>
      </c>
      <c r="K288" s="62" t="str">
        <f>IF(Biometria!K298=0,"",Biometria!K298)</f>
        <v/>
      </c>
    </row>
    <row r="289" spans="1:11" x14ac:dyDescent="0.25">
      <c r="A289" s="62" t="str">
        <f>IF(LEN(B288)&gt;0,Biometria!A299,"")</f>
        <v/>
      </c>
      <c r="B289" s="62" t="str">
        <f>IF(LEN(Biometria!B299)=0,"",Biometria!B299)</f>
        <v/>
      </c>
      <c r="C289" s="62" t="str">
        <f>IF(Biometria!C299=0,"",Biometria!C299)</f>
        <v/>
      </c>
      <c r="D289" s="62" t="str">
        <f>IF(Biometria!D299=0,"",Biometria!D299)</f>
        <v/>
      </c>
      <c r="E289" s="62" t="str">
        <f>IF(Biometria!E299=0,"",Biometria!E299)</f>
        <v/>
      </c>
      <c r="F289" s="62" t="str">
        <f>IF(Biometria!F299=0,"",Biometria!F299)</f>
        <v/>
      </c>
      <c r="G289" s="62" t="str">
        <f>IF(Biometria!G299=0,"",Biometria!G299)</f>
        <v/>
      </c>
      <c r="H289" s="62" t="str">
        <f>IF(Biometria!H299=0,"",Biometria!H299)</f>
        <v/>
      </c>
      <c r="I289" s="62" t="str">
        <f>IF(Biometria!I299=0,"",Biometria!I299)</f>
        <v/>
      </c>
      <c r="J289" s="62" t="str">
        <f>IF(Biometria!J299=0,"",Biometria!J299)</f>
        <v/>
      </c>
      <c r="K289" s="62" t="str">
        <f>IF(Biometria!K299=0,"",Biometria!K299)</f>
        <v/>
      </c>
    </row>
    <row r="290" spans="1:11" x14ac:dyDescent="0.25">
      <c r="A290" s="62" t="str">
        <f>IF(LEN(B289)&gt;0,Biometria!A300,"")</f>
        <v/>
      </c>
      <c r="B290" s="62" t="str">
        <f>IF(LEN(Biometria!B300)=0,"",Biometria!B300)</f>
        <v/>
      </c>
      <c r="C290" s="62" t="str">
        <f>IF(Biometria!C300=0,"",Biometria!C300)</f>
        <v/>
      </c>
      <c r="D290" s="62" t="str">
        <f>IF(Biometria!D300=0,"",Biometria!D300)</f>
        <v/>
      </c>
      <c r="E290" s="62" t="str">
        <f>IF(Biometria!E300=0,"",Biometria!E300)</f>
        <v/>
      </c>
      <c r="F290" s="62" t="str">
        <f>IF(Biometria!F300=0,"",Biometria!F300)</f>
        <v/>
      </c>
      <c r="G290" s="62" t="str">
        <f>IF(Biometria!G300=0,"",Biometria!G300)</f>
        <v/>
      </c>
      <c r="H290" s="62" t="str">
        <f>IF(Biometria!H300=0,"",Biometria!H300)</f>
        <v/>
      </c>
      <c r="I290" s="62" t="str">
        <f>IF(Biometria!I300=0,"",Biometria!I300)</f>
        <v/>
      </c>
      <c r="J290" s="62" t="str">
        <f>IF(Biometria!J300=0,"",Biometria!J300)</f>
        <v/>
      </c>
      <c r="K290" s="62" t="str">
        <f>IF(Biometria!K300=0,"",Biometria!K300)</f>
        <v/>
      </c>
    </row>
    <row r="291" spans="1:11" x14ac:dyDescent="0.25">
      <c r="A291" s="62" t="str">
        <f>IF(LEN(B290)&gt;0,Biometria!A301,"")</f>
        <v/>
      </c>
      <c r="B291" s="62" t="str">
        <f>IF(LEN(Biometria!B301)=0,"",Biometria!B301)</f>
        <v/>
      </c>
      <c r="C291" s="62" t="str">
        <f>IF(Biometria!C301=0,"",Biometria!C301)</f>
        <v/>
      </c>
      <c r="D291" s="62" t="str">
        <f>IF(Biometria!D301=0,"",Biometria!D301)</f>
        <v/>
      </c>
      <c r="E291" s="62" t="str">
        <f>IF(Biometria!E301=0,"",Biometria!E301)</f>
        <v/>
      </c>
      <c r="F291" s="62" t="str">
        <f>IF(Biometria!F301=0,"",Biometria!F301)</f>
        <v/>
      </c>
      <c r="G291" s="62" t="str">
        <f>IF(Biometria!G301=0,"",Biometria!G301)</f>
        <v/>
      </c>
      <c r="H291" s="62" t="str">
        <f>IF(Biometria!H301=0,"",Biometria!H301)</f>
        <v/>
      </c>
      <c r="I291" s="62" t="str">
        <f>IF(Biometria!I301=0,"",Biometria!I301)</f>
        <v/>
      </c>
      <c r="J291" s="62" t="str">
        <f>IF(Biometria!J301=0,"",Biometria!J301)</f>
        <v/>
      </c>
      <c r="K291" s="62" t="str">
        <f>IF(Biometria!K301=0,"",Biometria!K301)</f>
        <v/>
      </c>
    </row>
    <row r="292" spans="1:11" x14ac:dyDescent="0.25">
      <c r="A292" s="62" t="str">
        <f>IF(LEN(B291)&gt;0,Biometria!A302,"")</f>
        <v/>
      </c>
      <c r="B292" s="62" t="str">
        <f>IF(LEN(Biometria!B302)=0,"",Biometria!B302)</f>
        <v/>
      </c>
      <c r="C292" s="62" t="str">
        <f>IF(Biometria!C302=0,"",Biometria!C302)</f>
        <v/>
      </c>
      <c r="D292" s="62" t="str">
        <f>IF(Biometria!D302=0,"",Biometria!D302)</f>
        <v/>
      </c>
      <c r="E292" s="62" t="str">
        <f>IF(Biometria!E302=0,"",Biometria!E302)</f>
        <v/>
      </c>
      <c r="F292" s="62" t="str">
        <f>IF(Biometria!F302=0,"",Biometria!F302)</f>
        <v/>
      </c>
      <c r="G292" s="62" t="str">
        <f>IF(Biometria!G302=0,"",Biometria!G302)</f>
        <v/>
      </c>
      <c r="H292" s="62" t="str">
        <f>IF(Biometria!H302=0,"",Biometria!H302)</f>
        <v/>
      </c>
      <c r="I292" s="62" t="str">
        <f>IF(Biometria!I302=0,"",Biometria!I302)</f>
        <v/>
      </c>
      <c r="J292" s="62" t="str">
        <f>IF(Biometria!J302=0,"",Biometria!J302)</f>
        <v/>
      </c>
      <c r="K292" s="62" t="str">
        <f>IF(Biometria!K302=0,"",Biometria!K302)</f>
        <v/>
      </c>
    </row>
    <row r="293" spans="1:11" x14ac:dyDescent="0.25">
      <c r="A293" s="62" t="str">
        <f>IF(LEN(B292)&gt;0,Biometria!A303,"")</f>
        <v/>
      </c>
      <c r="B293" s="62" t="str">
        <f>IF(LEN(Biometria!B303)=0,"",Biometria!B303)</f>
        <v/>
      </c>
      <c r="C293" s="62" t="str">
        <f>IF(Biometria!C303=0,"",Biometria!C303)</f>
        <v/>
      </c>
      <c r="D293" s="62" t="str">
        <f>IF(Biometria!D303=0,"",Biometria!D303)</f>
        <v/>
      </c>
      <c r="E293" s="62" t="str">
        <f>IF(Biometria!E303=0,"",Biometria!E303)</f>
        <v/>
      </c>
      <c r="F293" s="62" t="str">
        <f>IF(Biometria!F303=0,"",Biometria!F303)</f>
        <v/>
      </c>
      <c r="G293" s="62" t="str">
        <f>IF(Biometria!G303=0,"",Biometria!G303)</f>
        <v/>
      </c>
      <c r="H293" s="62" t="str">
        <f>IF(Biometria!H303=0,"",Biometria!H303)</f>
        <v/>
      </c>
      <c r="I293" s="62" t="str">
        <f>IF(Biometria!I303=0,"",Biometria!I303)</f>
        <v/>
      </c>
      <c r="J293" s="62" t="str">
        <f>IF(Biometria!J303=0,"",Biometria!J303)</f>
        <v/>
      </c>
      <c r="K293" s="62" t="str">
        <f>IF(Biometria!K303=0,"",Biometria!K303)</f>
        <v/>
      </c>
    </row>
    <row r="294" spans="1:11" x14ac:dyDescent="0.25">
      <c r="A294" s="62" t="str">
        <f>IF(LEN(B293)&gt;0,Biometria!A304,"")</f>
        <v/>
      </c>
      <c r="B294" s="62" t="str">
        <f>IF(LEN(Biometria!B304)=0,"",Biometria!B304)</f>
        <v/>
      </c>
      <c r="C294" s="62" t="str">
        <f>IF(Biometria!C304=0,"",Biometria!C304)</f>
        <v/>
      </c>
      <c r="D294" s="62" t="str">
        <f>IF(Biometria!D304=0,"",Biometria!D304)</f>
        <v/>
      </c>
      <c r="E294" s="62" t="str">
        <f>IF(Biometria!E304=0,"",Biometria!E304)</f>
        <v/>
      </c>
      <c r="F294" s="62" t="str">
        <f>IF(Biometria!F304=0,"",Biometria!F304)</f>
        <v/>
      </c>
      <c r="G294" s="62" t="str">
        <f>IF(Biometria!G304=0,"",Biometria!G304)</f>
        <v/>
      </c>
      <c r="H294" s="62" t="str">
        <f>IF(Biometria!H304=0,"",Biometria!H304)</f>
        <v/>
      </c>
      <c r="I294" s="62" t="str">
        <f>IF(Biometria!I304=0,"",Biometria!I304)</f>
        <v/>
      </c>
      <c r="J294" s="62" t="str">
        <f>IF(Biometria!J304=0,"",Biometria!J304)</f>
        <v/>
      </c>
      <c r="K294" s="62" t="str">
        <f>IF(Biometria!K304=0,"",Biometria!K304)</f>
        <v/>
      </c>
    </row>
    <row r="295" spans="1:11" x14ac:dyDescent="0.25">
      <c r="A295" s="62" t="str">
        <f>IF(LEN(B294)&gt;0,Biometria!A305,"")</f>
        <v/>
      </c>
      <c r="B295" s="62" t="str">
        <f>IF(LEN(Biometria!B305)=0,"",Biometria!B305)</f>
        <v/>
      </c>
      <c r="C295" s="62" t="str">
        <f>IF(Biometria!C305=0,"",Biometria!C305)</f>
        <v/>
      </c>
      <c r="D295" s="62" t="str">
        <f>IF(Biometria!D305=0,"",Biometria!D305)</f>
        <v/>
      </c>
      <c r="E295" s="62" t="str">
        <f>IF(Biometria!E305=0,"",Biometria!E305)</f>
        <v/>
      </c>
      <c r="F295" s="62" t="str">
        <f>IF(Biometria!F305=0,"",Biometria!F305)</f>
        <v/>
      </c>
      <c r="G295" s="62" t="str">
        <f>IF(Biometria!G305=0,"",Biometria!G305)</f>
        <v/>
      </c>
      <c r="H295" s="62" t="str">
        <f>IF(Biometria!H305=0,"",Biometria!H305)</f>
        <v/>
      </c>
      <c r="I295" s="62" t="str">
        <f>IF(Biometria!I305=0,"",Biometria!I305)</f>
        <v/>
      </c>
      <c r="J295" s="62" t="str">
        <f>IF(Biometria!J305=0,"",Biometria!J305)</f>
        <v/>
      </c>
      <c r="K295" s="62" t="str">
        <f>IF(Biometria!K305=0,"",Biometria!K305)</f>
        <v/>
      </c>
    </row>
    <row r="296" spans="1:11" x14ac:dyDescent="0.25">
      <c r="A296" s="62" t="str">
        <f>IF(LEN(B295)&gt;0,Biometria!A306,"")</f>
        <v/>
      </c>
      <c r="B296" s="62" t="str">
        <f>IF(LEN(Biometria!B306)=0,"",Biometria!B306)</f>
        <v/>
      </c>
      <c r="C296" s="62" t="str">
        <f>IF(Biometria!C306=0,"",Biometria!C306)</f>
        <v/>
      </c>
      <c r="D296" s="62" t="str">
        <f>IF(Biometria!D306=0,"",Biometria!D306)</f>
        <v/>
      </c>
      <c r="E296" s="62" t="str">
        <f>IF(Biometria!E306=0,"",Biometria!E306)</f>
        <v/>
      </c>
      <c r="F296" s="62" t="str">
        <f>IF(Biometria!F306=0,"",Biometria!F306)</f>
        <v/>
      </c>
      <c r="G296" s="62" t="str">
        <f>IF(Biometria!G306=0,"",Biometria!G306)</f>
        <v/>
      </c>
      <c r="H296" s="62" t="str">
        <f>IF(Biometria!H306=0,"",Biometria!H306)</f>
        <v/>
      </c>
      <c r="I296" s="62" t="str">
        <f>IF(Biometria!I306=0,"",Biometria!I306)</f>
        <v/>
      </c>
      <c r="J296" s="62" t="str">
        <f>IF(Biometria!J306=0,"",Biometria!J306)</f>
        <v/>
      </c>
      <c r="K296" s="62" t="str">
        <f>IF(Biometria!K306=0,"",Biometria!K306)</f>
        <v/>
      </c>
    </row>
    <row r="297" spans="1:11" x14ac:dyDescent="0.25">
      <c r="A297" s="62" t="str">
        <f>IF(LEN(B296)&gt;0,Biometria!A307,"")</f>
        <v/>
      </c>
      <c r="B297" s="62" t="str">
        <f>IF(LEN(Biometria!B307)=0,"",Biometria!B307)</f>
        <v/>
      </c>
      <c r="C297" s="62" t="str">
        <f>IF(Biometria!C307=0,"",Biometria!C307)</f>
        <v/>
      </c>
      <c r="D297" s="62" t="str">
        <f>IF(Biometria!D307=0,"",Biometria!D307)</f>
        <v/>
      </c>
      <c r="E297" s="62" t="str">
        <f>IF(Biometria!E307=0,"",Biometria!E307)</f>
        <v/>
      </c>
      <c r="F297" s="62" t="str">
        <f>IF(Biometria!F307=0,"",Biometria!F307)</f>
        <v/>
      </c>
      <c r="G297" s="62" t="str">
        <f>IF(Biometria!G307=0,"",Biometria!G307)</f>
        <v/>
      </c>
      <c r="H297" s="62" t="str">
        <f>IF(Biometria!H307=0,"",Biometria!H307)</f>
        <v/>
      </c>
      <c r="I297" s="62" t="str">
        <f>IF(Biometria!I307=0,"",Biometria!I307)</f>
        <v/>
      </c>
      <c r="J297" s="62" t="str">
        <f>IF(Biometria!J307=0,"",Biometria!J307)</f>
        <v/>
      </c>
      <c r="K297" s="62" t="str">
        <f>IF(Biometria!K307=0,"",Biometria!K307)</f>
        <v/>
      </c>
    </row>
    <row r="298" spans="1:11" x14ac:dyDescent="0.25">
      <c r="A298" s="62" t="str">
        <f>IF(LEN(B297)&gt;0,Biometria!A308,"")</f>
        <v/>
      </c>
      <c r="B298" s="62" t="str">
        <f>IF(LEN(Biometria!B308)=0,"",Biometria!B308)</f>
        <v/>
      </c>
      <c r="C298" s="62" t="str">
        <f>IF(Biometria!C308=0,"",Biometria!C308)</f>
        <v/>
      </c>
      <c r="D298" s="62" t="str">
        <f>IF(Biometria!D308=0,"",Biometria!D308)</f>
        <v/>
      </c>
      <c r="E298" s="62" t="str">
        <f>IF(Biometria!E308=0,"",Biometria!E308)</f>
        <v/>
      </c>
      <c r="F298" s="62" t="str">
        <f>IF(Biometria!F308=0,"",Biometria!F308)</f>
        <v/>
      </c>
      <c r="G298" s="62" t="str">
        <f>IF(Biometria!G308=0,"",Biometria!G308)</f>
        <v/>
      </c>
      <c r="H298" s="62" t="str">
        <f>IF(Biometria!H308=0,"",Biometria!H308)</f>
        <v/>
      </c>
      <c r="I298" s="62" t="str">
        <f>IF(Biometria!I308=0,"",Biometria!I308)</f>
        <v/>
      </c>
      <c r="J298" s="62" t="str">
        <f>IF(Biometria!J308=0,"",Biometria!J308)</f>
        <v/>
      </c>
      <c r="K298" s="62" t="str">
        <f>IF(Biometria!K308=0,"",Biometria!K308)</f>
        <v/>
      </c>
    </row>
    <row r="299" spans="1:11" x14ac:dyDescent="0.25">
      <c r="A299" s="62" t="str">
        <f>IF(LEN(B298)&gt;0,Biometria!A309,"")</f>
        <v/>
      </c>
      <c r="B299" s="62" t="str">
        <f>IF(LEN(Biometria!B309)=0,"",Biometria!B309)</f>
        <v/>
      </c>
      <c r="C299" s="62" t="str">
        <f>IF(Biometria!C309=0,"",Biometria!C309)</f>
        <v/>
      </c>
      <c r="D299" s="62" t="str">
        <f>IF(Biometria!D309=0,"",Biometria!D309)</f>
        <v/>
      </c>
      <c r="E299" s="62" t="str">
        <f>IF(Biometria!E309=0,"",Biometria!E309)</f>
        <v/>
      </c>
      <c r="F299" s="62" t="str">
        <f>IF(Biometria!F309=0,"",Biometria!F309)</f>
        <v/>
      </c>
      <c r="G299" s="62" t="str">
        <f>IF(Biometria!G309=0,"",Biometria!G309)</f>
        <v/>
      </c>
      <c r="H299" s="62" t="str">
        <f>IF(Biometria!H309=0,"",Biometria!H309)</f>
        <v/>
      </c>
      <c r="I299" s="62" t="str">
        <f>IF(Biometria!I309=0,"",Biometria!I309)</f>
        <v/>
      </c>
      <c r="J299" s="62" t="str">
        <f>IF(Biometria!J309=0,"",Biometria!J309)</f>
        <v/>
      </c>
      <c r="K299" s="62" t="str">
        <f>IF(Biometria!K309=0,"",Biometria!K309)</f>
        <v/>
      </c>
    </row>
    <row r="300" spans="1:11" x14ac:dyDescent="0.25">
      <c r="A300" s="62" t="str">
        <f>IF(LEN(B299)&gt;0,Biometria!A310,"")</f>
        <v/>
      </c>
      <c r="B300" s="62" t="str">
        <f>IF(LEN(Biometria!B310)=0,"",Biometria!B310)</f>
        <v/>
      </c>
      <c r="C300" s="62" t="str">
        <f>IF(Biometria!C310=0,"",Biometria!C310)</f>
        <v/>
      </c>
      <c r="D300" s="62" t="str">
        <f>IF(Biometria!D310=0,"",Biometria!D310)</f>
        <v/>
      </c>
      <c r="E300" s="62" t="str">
        <f>IF(Biometria!E310=0,"",Biometria!E310)</f>
        <v/>
      </c>
      <c r="F300" s="62" t="str">
        <f>IF(Biometria!F310=0,"",Biometria!F310)</f>
        <v/>
      </c>
      <c r="G300" s="62" t="str">
        <f>IF(Biometria!G310=0,"",Biometria!G310)</f>
        <v/>
      </c>
      <c r="H300" s="62" t="str">
        <f>IF(Biometria!H310=0,"",Biometria!H310)</f>
        <v/>
      </c>
      <c r="I300" s="62" t="str">
        <f>IF(Biometria!I310=0,"",Biometria!I310)</f>
        <v/>
      </c>
      <c r="J300" s="62" t="str">
        <f>IF(Biometria!J310=0,"",Biometria!J310)</f>
        <v/>
      </c>
      <c r="K300" s="62" t="str">
        <f>IF(Biometria!K310=0,"",Biometria!K310)</f>
        <v/>
      </c>
    </row>
    <row r="301" spans="1:11" x14ac:dyDescent="0.25">
      <c r="A301" s="62" t="str">
        <f>IF(LEN(B300)&gt;0,Biometria!A311,"")</f>
        <v/>
      </c>
      <c r="B301" s="62" t="str">
        <f>IF(LEN(Biometria!B311)=0,"",Biometria!B311)</f>
        <v/>
      </c>
      <c r="C301" s="62" t="str">
        <f>IF(Biometria!C311=0,"",Biometria!C311)</f>
        <v/>
      </c>
      <c r="D301" s="62" t="str">
        <f>IF(Biometria!D311=0,"",Biometria!D311)</f>
        <v/>
      </c>
      <c r="E301" s="62" t="str">
        <f>IF(Biometria!E311=0,"",Biometria!E311)</f>
        <v/>
      </c>
      <c r="F301" s="62" t="str">
        <f>IF(Biometria!F311=0,"",Biometria!F311)</f>
        <v/>
      </c>
      <c r="G301" s="62" t="str">
        <f>IF(Biometria!G311=0,"",Biometria!G311)</f>
        <v/>
      </c>
      <c r="H301" s="62" t="str">
        <f>IF(Biometria!H311=0,"",Biometria!H311)</f>
        <v/>
      </c>
      <c r="I301" s="62" t="str">
        <f>IF(Biometria!I311=0,"",Biometria!I311)</f>
        <v/>
      </c>
      <c r="J301" s="62" t="str">
        <f>IF(Biometria!J311=0,"",Biometria!J311)</f>
        <v/>
      </c>
      <c r="K301" s="62" t="str">
        <f>IF(Biometria!K311=0,"",Biometria!K311)</f>
        <v/>
      </c>
    </row>
    <row r="302" spans="1:11" x14ac:dyDescent="0.25">
      <c r="A302" s="62" t="str">
        <f>IF(LEN(B301)&gt;0,Biometria!A312,"")</f>
        <v/>
      </c>
      <c r="B302" s="62" t="str">
        <f>IF(LEN(Biometria!B312)=0,"",Biometria!B312)</f>
        <v/>
      </c>
      <c r="C302" s="62" t="str">
        <f>IF(Biometria!C312=0,"",Biometria!C312)</f>
        <v/>
      </c>
      <c r="D302" s="62" t="str">
        <f>IF(Biometria!D312=0,"",Biometria!D312)</f>
        <v/>
      </c>
      <c r="E302" s="62" t="str">
        <f>IF(Biometria!E312=0,"",Biometria!E312)</f>
        <v/>
      </c>
      <c r="F302" s="62" t="str">
        <f>IF(Biometria!F312=0,"",Biometria!F312)</f>
        <v/>
      </c>
      <c r="G302" s="62" t="str">
        <f>IF(Biometria!G312=0,"",Biometria!G312)</f>
        <v/>
      </c>
      <c r="H302" s="62" t="str">
        <f>IF(Biometria!H312=0,"",Biometria!H312)</f>
        <v/>
      </c>
      <c r="I302" s="62" t="str">
        <f>IF(Biometria!I312=0,"",Biometria!I312)</f>
        <v/>
      </c>
      <c r="J302" s="62" t="str">
        <f>IF(Biometria!J312=0,"",Biometria!J312)</f>
        <v/>
      </c>
      <c r="K302" s="62" t="str">
        <f>IF(Biometria!K312=0,"",Biometria!K312)</f>
        <v/>
      </c>
    </row>
    <row r="303" spans="1:11" x14ac:dyDescent="0.25">
      <c r="A303" s="62" t="str">
        <f>IF(LEN(B302)&gt;0,Biometria!A313,"")</f>
        <v/>
      </c>
      <c r="B303" s="62" t="str">
        <f>IF(LEN(Biometria!B313)=0,"",Biometria!B313)</f>
        <v/>
      </c>
      <c r="C303" s="62" t="str">
        <f>IF(Biometria!C313=0,"",Biometria!C313)</f>
        <v/>
      </c>
      <c r="D303" s="62" t="str">
        <f>IF(Biometria!D313=0,"",Biometria!D313)</f>
        <v/>
      </c>
      <c r="E303" s="62" t="str">
        <f>IF(Biometria!E313=0,"",Biometria!E313)</f>
        <v/>
      </c>
      <c r="F303" s="62" t="str">
        <f>IF(Biometria!F313=0,"",Biometria!F313)</f>
        <v/>
      </c>
      <c r="G303" s="62" t="str">
        <f>IF(Biometria!G313=0,"",Biometria!G313)</f>
        <v/>
      </c>
      <c r="H303" s="62" t="str">
        <f>IF(Biometria!H313=0,"",Biometria!H313)</f>
        <v/>
      </c>
      <c r="I303" s="62" t="str">
        <f>IF(Biometria!I313=0,"",Biometria!I313)</f>
        <v/>
      </c>
      <c r="J303" s="62" t="str">
        <f>IF(Biometria!J313=0,"",Biometria!J313)</f>
        <v/>
      </c>
      <c r="K303" s="62" t="str">
        <f>IF(Biometria!K313=0,"",Biometria!K313)</f>
        <v/>
      </c>
    </row>
    <row r="304" spans="1:11" x14ac:dyDescent="0.25">
      <c r="A304" s="62" t="str">
        <f>IF(LEN(B303)&gt;0,Biometria!A314,"")</f>
        <v/>
      </c>
      <c r="B304" s="62" t="str">
        <f>IF(LEN(Biometria!B314)=0,"",Biometria!B314)</f>
        <v/>
      </c>
      <c r="C304" s="62" t="str">
        <f>IF(Biometria!C314=0,"",Biometria!C314)</f>
        <v/>
      </c>
      <c r="D304" s="62" t="str">
        <f>IF(Biometria!D314=0,"",Biometria!D314)</f>
        <v/>
      </c>
      <c r="E304" s="62" t="str">
        <f>IF(Biometria!E314=0,"",Biometria!E314)</f>
        <v/>
      </c>
      <c r="F304" s="62" t="str">
        <f>IF(Biometria!F314=0,"",Biometria!F314)</f>
        <v/>
      </c>
      <c r="G304" s="62" t="str">
        <f>IF(Biometria!G314=0,"",Biometria!G314)</f>
        <v/>
      </c>
      <c r="H304" s="62" t="str">
        <f>IF(Biometria!H314=0,"",Biometria!H314)</f>
        <v/>
      </c>
      <c r="I304" s="62" t="str">
        <f>IF(Biometria!I314=0,"",Biometria!I314)</f>
        <v/>
      </c>
      <c r="J304" s="62" t="str">
        <f>IF(Biometria!J314=0,"",Biometria!J314)</f>
        <v/>
      </c>
      <c r="K304" s="62" t="str">
        <f>IF(Biometria!K314=0,"",Biometria!K314)</f>
        <v/>
      </c>
    </row>
    <row r="305" spans="1:11" x14ac:dyDescent="0.25">
      <c r="A305" s="62" t="str">
        <f>IF(LEN(B304)&gt;0,Biometria!A315,"")</f>
        <v/>
      </c>
      <c r="B305" s="62" t="str">
        <f>IF(LEN(Biometria!B315)=0,"",Biometria!B315)</f>
        <v/>
      </c>
      <c r="C305" s="62" t="str">
        <f>IF(Biometria!C315=0,"",Biometria!C315)</f>
        <v/>
      </c>
      <c r="D305" s="62" t="str">
        <f>IF(Biometria!D315=0,"",Biometria!D315)</f>
        <v/>
      </c>
      <c r="E305" s="62" t="str">
        <f>IF(Biometria!E315=0,"",Biometria!E315)</f>
        <v/>
      </c>
      <c r="F305" s="62" t="str">
        <f>IF(Biometria!F315=0,"",Biometria!F315)</f>
        <v/>
      </c>
      <c r="G305" s="62" t="str">
        <f>IF(Biometria!G315=0,"",Biometria!G315)</f>
        <v/>
      </c>
      <c r="H305" s="62" t="str">
        <f>IF(Biometria!H315=0,"",Biometria!H315)</f>
        <v/>
      </c>
      <c r="I305" s="62" t="str">
        <f>IF(Biometria!I315=0,"",Biometria!I315)</f>
        <v/>
      </c>
      <c r="J305" s="62" t="str">
        <f>IF(Biometria!J315=0,"",Biometria!J315)</f>
        <v/>
      </c>
      <c r="K305" s="62" t="str">
        <f>IF(Biometria!K315=0,"",Biometria!K315)</f>
        <v/>
      </c>
    </row>
    <row r="306" spans="1:11" x14ac:dyDescent="0.25">
      <c r="A306" s="62" t="str">
        <f>IF(LEN(B305)&gt;0,Biometria!A316,"")</f>
        <v/>
      </c>
      <c r="B306" s="62" t="str">
        <f>IF(LEN(Biometria!B316)=0,"",Biometria!B316)</f>
        <v/>
      </c>
      <c r="C306" s="62" t="str">
        <f>IF(Biometria!C316=0,"",Biometria!C316)</f>
        <v/>
      </c>
      <c r="D306" s="62" t="str">
        <f>IF(Biometria!D316=0,"",Biometria!D316)</f>
        <v/>
      </c>
      <c r="E306" s="62" t="str">
        <f>IF(Biometria!E316=0,"",Biometria!E316)</f>
        <v/>
      </c>
      <c r="F306" s="62" t="str">
        <f>IF(Biometria!F316=0,"",Biometria!F316)</f>
        <v/>
      </c>
      <c r="G306" s="62" t="str">
        <f>IF(Biometria!G316=0,"",Biometria!G316)</f>
        <v/>
      </c>
      <c r="H306" s="62" t="str">
        <f>IF(Biometria!H316=0,"",Biometria!H316)</f>
        <v/>
      </c>
      <c r="I306" s="62" t="str">
        <f>IF(Biometria!I316=0,"",Biometria!I316)</f>
        <v/>
      </c>
      <c r="J306" s="62" t="str">
        <f>IF(Biometria!J316=0,"",Biometria!J316)</f>
        <v/>
      </c>
      <c r="K306" s="62" t="str">
        <f>IF(Biometria!K316=0,"",Biometria!K316)</f>
        <v/>
      </c>
    </row>
    <row r="307" spans="1:11" x14ac:dyDescent="0.25">
      <c r="A307" s="62" t="str">
        <f>IF(LEN(B306)&gt;0,Biometria!A317,"")</f>
        <v/>
      </c>
      <c r="B307" s="62" t="str">
        <f>IF(LEN(Biometria!B317)=0,"",Biometria!B317)</f>
        <v/>
      </c>
      <c r="C307" s="62" t="str">
        <f>IF(Biometria!C317=0,"",Biometria!C317)</f>
        <v/>
      </c>
      <c r="D307" s="62" t="str">
        <f>IF(Biometria!D317=0,"",Biometria!D317)</f>
        <v/>
      </c>
      <c r="E307" s="62" t="str">
        <f>IF(Biometria!E317=0,"",Biometria!E317)</f>
        <v/>
      </c>
      <c r="F307" s="62" t="str">
        <f>IF(Biometria!F317=0,"",Biometria!F317)</f>
        <v/>
      </c>
      <c r="G307" s="62" t="str">
        <f>IF(Biometria!G317=0,"",Biometria!G317)</f>
        <v/>
      </c>
      <c r="H307" s="62" t="str">
        <f>IF(Biometria!H317=0,"",Biometria!H317)</f>
        <v/>
      </c>
      <c r="I307" s="62" t="str">
        <f>IF(Biometria!I317=0,"",Biometria!I317)</f>
        <v/>
      </c>
      <c r="J307" s="62" t="str">
        <f>IF(Biometria!J317=0,"",Biometria!J317)</f>
        <v/>
      </c>
      <c r="K307" s="62" t="str">
        <f>IF(Biometria!K317=0,"",Biometria!K317)</f>
        <v/>
      </c>
    </row>
    <row r="308" spans="1:11" x14ac:dyDescent="0.25">
      <c r="A308" s="62" t="str">
        <f>IF(LEN(B307)&gt;0,Biometria!A318,"")</f>
        <v/>
      </c>
      <c r="B308" s="62" t="str">
        <f>IF(LEN(Biometria!B318)=0,"",Biometria!B318)</f>
        <v/>
      </c>
      <c r="C308" s="62" t="str">
        <f>IF(Biometria!C318=0,"",Biometria!C318)</f>
        <v/>
      </c>
      <c r="D308" s="62" t="str">
        <f>IF(Biometria!D318=0,"",Biometria!D318)</f>
        <v/>
      </c>
      <c r="E308" s="62" t="str">
        <f>IF(Biometria!E318=0,"",Biometria!E318)</f>
        <v/>
      </c>
      <c r="F308" s="62" t="str">
        <f>IF(Biometria!F318=0,"",Biometria!F318)</f>
        <v/>
      </c>
      <c r="G308" s="62" t="str">
        <f>IF(Biometria!G318=0,"",Biometria!G318)</f>
        <v/>
      </c>
      <c r="H308" s="62" t="str">
        <f>IF(Biometria!H318=0,"",Biometria!H318)</f>
        <v/>
      </c>
      <c r="I308" s="62" t="str">
        <f>IF(Biometria!I318=0,"",Biometria!I318)</f>
        <v/>
      </c>
      <c r="J308" s="62" t="str">
        <f>IF(Biometria!J318=0,"",Biometria!J318)</f>
        <v/>
      </c>
      <c r="K308" s="62" t="str">
        <f>IF(Biometria!K318=0,"",Biometria!K318)</f>
        <v/>
      </c>
    </row>
    <row r="309" spans="1:11" x14ac:dyDescent="0.25">
      <c r="A309" s="62" t="str">
        <f>IF(LEN(B308)&gt;0,Biometria!A319,"")</f>
        <v/>
      </c>
      <c r="B309" s="62" t="str">
        <f>IF(LEN(Biometria!B319)=0,"",Biometria!B319)</f>
        <v/>
      </c>
      <c r="C309" s="62" t="str">
        <f>IF(Biometria!C319=0,"",Biometria!C319)</f>
        <v/>
      </c>
      <c r="D309" s="62" t="str">
        <f>IF(Biometria!D319=0,"",Biometria!D319)</f>
        <v/>
      </c>
      <c r="E309" s="62" t="str">
        <f>IF(Biometria!E319=0,"",Biometria!E319)</f>
        <v/>
      </c>
      <c r="F309" s="62" t="str">
        <f>IF(Biometria!F319=0,"",Biometria!F319)</f>
        <v/>
      </c>
      <c r="G309" s="62" t="str">
        <f>IF(Biometria!G319=0,"",Biometria!G319)</f>
        <v/>
      </c>
      <c r="H309" s="62" t="str">
        <f>IF(Biometria!H319=0,"",Biometria!H319)</f>
        <v/>
      </c>
      <c r="I309" s="62" t="str">
        <f>IF(Biometria!I319=0,"",Biometria!I319)</f>
        <v/>
      </c>
      <c r="J309" s="62" t="str">
        <f>IF(Biometria!J319=0,"",Biometria!J319)</f>
        <v/>
      </c>
      <c r="K309" s="62" t="str">
        <f>IF(Biometria!K319=0,"",Biometria!K319)</f>
        <v/>
      </c>
    </row>
    <row r="310" spans="1:11" x14ac:dyDescent="0.25">
      <c r="A310" s="62" t="str">
        <f>IF(LEN(B309)&gt;0,Biometria!A320,"")</f>
        <v/>
      </c>
      <c r="B310" s="62" t="str">
        <f>IF(LEN(Biometria!B320)=0,"",Biometria!B320)</f>
        <v/>
      </c>
      <c r="C310" s="62" t="str">
        <f>IF(Biometria!C320=0,"",Biometria!C320)</f>
        <v/>
      </c>
      <c r="D310" s="62" t="str">
        <f>IF(Biometria!D320=0,"",Biometria!D320)</f>
        <v/>
      </c>
      <c r="E310" s="62" t="str">
        <f>IF(Biometria!E320=0,"",Biometria!E320)</f>
        <v/>
      </c>
      <c r="F310" s="62" t="str">
        <f>IF(Biometria!F320=0,"",Biometria!F320)</f>
        <v/>
      </c>
      <c r="G310" s="62" t="str">
        <f>IF(Biometria!G320=0,"",Biometria!G320)</f>
        <v/>
      </c>
      <c r="H310" s="62" t="str">
        <f>IF(Biometria!H320=0,"",Biometria!H320)</f>
        <v/>
      </c>
      <c r="I310" s="62" t="str">
        <f>IF(Biometria!I320=0,"",Biometria!I320)</f>
        <v/>
      </c>
      <c r="J310" s="62" t="str">
        <f>IF(Biometria!J320=0,"",Biometria!J320)</f>
        <v/>
      </c>
      <c r="K310" s="62" t="str">
        <f>IF(Biometria!K320=0,"",Biometria!K320)</f>
        <v/>
      </c>
    </row>
    <row r="311" spans="1:11" x14ac:dyDescent="0.25">
      <c r="A311" s="62" t="str">
        <f>IF(LEN(B310)&gt;0,Biometria!A321,"")</f>
        <v/>
      </c>
      <c r="B311" s="62" t="str">
        <f>IF(LEN(Biometria!B321)=0,"",Biometria!B321)</f>
        <v/>
      </c>
      <c r="C311" s="62" t="str">
        <f>IF(Biometria!C321=0,"",Biometria!C321)</f>
        <v/>
      </c>
      <c r="D311" s="62" t="str">
        <f>IF(Biometria!D321=0,"",Biometria!D321)</f>
        <v/>
      </c>
      <c r="E311" s="62" t="str">
        <f>IF(Biometria!E321=0,"",Biometria!E321)</f>
        <v/>
      </c>
      <c r="F311" s="62" t="str">
        <f>IF(Biometria!F321=0,"",Biometria!F321)</f>
        <v/>
      </c>
      <c r="G311" s="62" t="str">
        <f>IF(Biometria!G321=0,"",Biometria!G321)</f>
        <v/>
      </c>
      <c r="H311" s="62" t="str">
        <f>IF(Biometria!H321=0,"",Biometria!H321)</f>
        <v/>
      </c>
      <c r="I311" s="62" t="str">
        <f>IF(Biometria!I321=0,"",Biometria!I321)</f>
        <v/>
      </c>
      <c r="J311" s="62" t="str">
        <f>IF(Biometria!J321=0,"",Biometria!J321)</f>
        <v/>
      </c>
      <c r="K311" s="62" t="str">
        <f>IF(Biometria!K321=0,"",Biometria!K321)</f>
        <v/>
      </c>
    </row>
    <row r="312" spans="1:11" x14ac:dyDescent="0.25">
      <c r="A312" s="62" t="str">
        <f>IF(LEN(B311)&gt;0,Biometria!A322,"")</f>
        <v/>
      </c>
      <c r="B312" s="62" t="str">
        <f>IF(LEN(Biometria!B322)=0,"",Biometria!B322)</f>
        <v/>
      </c>
      <c r="C312" s="62" t="str">
        <f>IF(Biometria!C322=0,"",Biometria!C322)</f>
        <v/>
      </c>
      <c r="D312" s="62" t="str">
        <f>IF(Biometria!D322=0,"",Biometria!D322)</f>
        <v/>
      </c>
      <c r="E312" s="62" t="str">
        <f>IF(Biometria!E322=0,"",Biometria!E322)</f>
        <v/>
      </c>
      <c r="F312" s="62" t="str">
        <f>IF(Biometria!F322=0,"",Biometria!F322)</f>
        <v/>
      </c>
      <c r="G312" s="62" t="str">
        <f>IF(Biometria!G322=0,"",Biometria!G322)</f>
        <v/>
      </c>
      <c r="H312" s="62" t="str">
        <f>IF(Biometria!H322=0,"",Biometria!H322)</f>
        <v/>
      </c>
      <c r="I312" s="62" t="str">
        <f>IF(Biometria!I322=0,"",Biometria!I322)</f>
        <v/>
      </c>
      <c r="J312" s="62" t="str">
        <f>IF(Biometria!J322=0,"",Biometria!J322)</f>
        <v/>
      </c>
      <c r="K312" s="62" t="str">
        <f>IF(Biometria!K322=0,"",Biometria!K322)</f>
        <v/>
      </c>
    </row>
    <row r="313" spans="1:11" x14ac:dyDescent="0.25">
      <c r="A313" s="62" t="str">
        <f>IF(LEN(B312)&gt;0,Biometria!A323,"")</f>
        <v/>
      </c>
      <c r="B313" s="62" t="str">
        <f>IF(LEN(Biometria!B323)=0,"",Biometria!B323)</f>
        <v/>
      </c>
      <c r="C313" s="62" t="str">
        <f>IF(Biometria!C323=0,"",Biometria!C323)</f>
        <v/>
      </c>
      <c r="D313" s="62" t="str">
        <f>IF(Biometria!D323=0,"",Biometria!D323)</f>
        <v/>
      </c>
      <c r="E313" s="62" t="str">
        <f>IF(Biometria!E323=0,"",Biometria!E323)</f>
        <v/>
      </c>
      <c r="F313" s="62" t="str">
        <f>IF(Biometria!F323=0,"",Biometria!F323)</f>
        <v/>
      </c>
      <c r="G313" s="62" t="str">
        <f>IF(Biometria!G323=0,"",Biometria!G323)</f>
        <v/>
      </c>
      <c r="H313" s="62" t="str">
        <f>IF(Biometria!H323=0,"",Biometria!H323)</f>
        <v/>
      </c>
      <c r="I313" s="62" t="str">
        <f>IF(Biometria!I323=0,"",Biometria!I323)</f>
        <v/>
      </c>
      <c r="J313" s="62" t="str">
        <f>IF(Biometria!J323=0,"",Biometria!J323)</f>
        <v/>
      </c>
      <c r="K313" s="62" t="str">
        <f>IF(Biometria!K323=0,"",Biometria!K323)</f>
        <v/>
      </c>
    </row>
    <row r="314" spans="1:11" x14ac:dyDescent="0.25">
      <c r="A314" s="62" t="str">
        <f>IF(LEN(B313)&gt;0,Biometria!A324,"")</f>
        <v/>
      </c>
      <c r="B314" s="62" t="str">
        <f>IF(LEN(Biometria!B324)=0,"",Biometria!B324)</f>
        <v/>
      </c>
      <c r="C314" s="62" t="str">
        <f>IF(Biometria!C324=0,"",Biometria!C324)</f>
        <v/>
      </c>
      <c r="D314" s="62" t="str">
        <f>IF(Biometria!D324=0,"",Biometria!D324)</f>
        <v/>
      </c>
      <c r="E314" s="62" t="str">
        <f>IF(Biometria!E324=0,"",Biometria!E324)</f>
        <v/>
      </c>
      <c r="F314" s="62" t="str">
        <f>IF(Biometria!F324=0,"",Biometria!F324)</f>
        <v/>
      </c>
      <c r="G314" s="62" t="str">
        <f>IF(Biometria!G324=0,"",Biometria!G324)</f>
        <v/>
      </c>
      <c r="H314" s="62" t="str">
        <f>IF(Biometria!H324=0,"",Biometria!H324)</f>
        <v/>
      </c>
      <c r="I314" s="62" t="str">
        <f>IF(Biometria!I324=0,"",Biometria!I324)</f>
        <v/>
      </c>
      <c r="J314" s="62" t="str">
        <f>IF(Biometria!J324=0,"",Biometria!J324)</f>
        <v/>
      </c>
      <c r="K314" s="62" t="str">
        <f>IF(Biometria!K324=0,"",Biometria!K324)</f>
        <v/>
      </c>
    </row>
    <row r="315" spans="1:11" x14ac:dyDescent="0.25">
      <c r="A315" s="62" t="str">
        <f>IF(LEN(B314)&gt;0,Biometria!A325,"")</f>
        <v/>
      </c>
      <c r="B315" s="62" t="str">
        <f>IF(LEN(Biometria!B325)=0,"",Biometria!B325)</f>
        <v/>
      </c>
      <c r="C315" s="62" t="str">
        <f>IF(Biometria!C325=0,"",Biometria!C325)</f>
        <v/>
      </c>
      <c r="D315" s="62" t="str">
        <f>IF(Biometria!D325=0,"",Biometria!D325)</f>
        <v/>
      </c>
      <c r="E315" s="62" t="str">
        <f>IF(Biometria!E325=0,"",Biometria!E325)</f>
        <v/>
      </c>
      <c r="F315" s="62" t="str">
        <f>IF(Biometria!F325=0,"",Biometria!F325)</f>
        <v/>
      </c>
      <c r="G315" s="62" t="str">
        <f>IF(Biometria!G325=0,"",Biometria!G325)</f>
        <v/>
      </c>
      <c r="H315" s="62" t="str">
        <f>IF(Biometria!H325=0,"",Biometria!H325)</f>
        <v/>
      </c>
      <c r="I315" s="62" t="str">
        <f>IF(Biometria!I325=0,"",Biometria!I325)</f>
        <v/>
      </c>
      <c r="J315" s="62" t="str">
        <f>IF(Biometria!J325=0,"",Biometria!J325)</f>
        <v/>
      </c>
      <c r="K315" s="62" t="str">
        <f>IF(Biometria!K325=0,"",Biometria!K325)</f>
        <v/>
      </c>
    </row>
    <row r="316" spans="1:11" x14ac:dyDescent="0.25">
      <c r="A316" s="62" t="str">
        <f>IF(LEN(B315)&gt;0,Biometria!A326,"")</f>
        <v/>
      </c>
      <c r="B316" s="62" t="str">
        <f>IF(LEN(Biometria!B326)=0,"",Biometria!B326)</f>
        <v/>
      </c>
      <c r="C316" s="62" t="str">
        <f>IF(Biometria!C326=0,"",Biometria!C326)</f>
        <v/>
      </c>
      <c r="D316" s="62" t="str">
        <f>IF(Biometria!D326=0,"",Biometria!D326)</f>
        <v/>
      </c>
      <c r="E316" s="62" t="str">
        <f>IF(Biometria!E326=0,"",Biometria!E326)</f>
        <v/>
      </c>
      <c r="F316" s="62" t="str">
        <f>IF(Biometria!F326=0,"",Biometria!F326)</f>
        <v/>
      </c>
      <c r="G316" s="62" t="str">
        <f>IF(Biometria!G326=0,"",Biometria!G326)</f>
        <v/>
      </c>
      <c r="H316" s="62" t="str">
        <f>IF(Biometria!H326=0,"",Biometria!H326)</f>
        <v/>
      </c>
      <c r="I316" s="62" t="str">
        <f>IF(Biometria!I326=0,"",Biometria!I326)</f>
        <v/>
      </c>
      <c r="J316" s="62" t="str">
        <f>IF(Biometria!J326=0,"",Biometria!J326)</f>
        <v/>
      </c>
      <c r="K316" s="62" t="str">
        <f>IF(Biometria!K326=0,"",Biometria!K326)</f>
        <v/>
      </c>
    </row>
    <row r="317" spans="1:11" x14ac:dyDescent="0.25">
      <c r="A317" s="62" t="str">
        <f>IF(LEN(B316)&gt;0,Biometria!A327,"")</f>
        <v/>
      </c>
      <c r="B317" s="62" t="str">
        <f>IF(LEN(Biometria!B327)=0,"",Biometria!B327)</f>
        <v/>
      </c>
      <c r="C317" s="62" t="str">
        <f>IF(Biometria!C327=0,"",Biometria!C327)</f>
        <v/>
      </c>
      <c r="D317" s="62" t="str">
        <f>IF(Biometria!D327=0,"",Biometria!D327)</f>
        <v/>
      </c>
      <c r="E317" s="62" t="str">
        <f>IF(Biometria!E327=0,"",Biometria!E327)</f>
        <v/>
      </c>
      <c r="F317" s="62" t="str">
        <f>IF(Biometria!F327=0,"",Biometria!F327)</f>
        <v/>
      </c>
      <c r="G317" s="62" t="str">
        <f>IF(Biometria!G327=0,"",Biometria!G327)</f>
        <v/>
      </c>
      <c r="H317" s="62" t="str">
        <f>IF(Biometria!H327=0,"",Biometria!H327)</f>
        <v/>
      </c>
      <c r="I317" s="62" t="str">
        <f>IF(Biometria!I327=0,"",Biometria!I327)</f>
        <v/>
      </c>
      <c r="J317" s="62" t="str">
        <f>IF(Biometria!J327=0,"",Biometria!J327)</f>
        <v/>
      </c>
      <c r="K317" s="62" t="str">
        <f>IF(Biometria!K327=0,"",Biometria!K327)</f>
        <v/>
      </c>
    </row>
    <row r="318" spans="1:11" x14ac:dyDescent="0.25">
      <c r="A318" s="62" t="str">
        <f>IF(LEN(B317)&gt;0,Biometria!A328,"")</f>
        <v/>
      </c>
      <c r="B318" s="62" t="str">
        <f>IF(LEN(Biometria!B328)=0,"",Biometria!B328)</f>
        <v/>
      </c>
      <c r="C318" s="62" t="str">
        <f>IF(Biometria!C328=0,"",Biometria!C328)</f>
        <v/>
      </c>
      <c r="D318" s="62" t="str">
        <f>IF(Biometria!D328=0,"",Biometria!D328)</f>
        <v/>
      </c>
      <c r="E318" s="62" t="str">
        <f>IF(Biometria!E328=0,"",Biometria!E328)</f>
        <v/>
      </c>
      <c r="F318" s="62" t="str">
        <f>IF(Biometria!F328=0,"",Biometria!F328)</f>
        <v/>
      </c>
      <c r="G318" s="62" t="str">
        <f>IF(Biometria!G328=0,"",Biometria!G328)</f>
        <v/>
      </c>
      <c r="H318" s="62" t="str">
        <f>IF(Biometria!H328=0,"",Biometria!H328)</f>
        <v/>
      </c>
      <c r="I318" s="62" t="str">
        <f>IF(Biometria!I328=0,"",Biometria!I328)</f>
        <v/>
      </c>
      <c r="J318" s="62" t="str">
        <f>IF(Biometria!J328=0,"",Biometria!J328)</f>
        <v/>
      </c>
      <c r="K318" s="62" t="str">
        <f>IF(Biometria!K328=0,"",Biometria!K328)</f>
        <v/>
      </c>
    </row>
    <row r="319" spans="1:11" x14ac:dyDescent="0.25">
      <c r="A319" s="62" t="str">
        <f>IF(LEN(B318)&gt;0,Biometria!A329,"")</f>
        <v/>
      </c>
      <c r="B319" s="62" t="str">
        <f>IF(LEN(Biometria!B329)=0,"",Biometria!B329)</f>
        <v/>
      </c>
      <c r="C319" s="62" t="str">
        <f>IF(Biometria!C329=0,"",Biometria!C329)</f>
        <v/>
      </c>
      <c r="D319" s="62" t="str">
        <f>IF(Biometria!D329=0,"",Biometria!D329)</f>
        <v/>
      </c>
      <c r="E319" s="62" t="str">
        <f>IF(Biometria!E329=0,"",Biometria!E329)</f>
        <v/>
      </c>
      <c r="F319" s="62" t="str">
        <f>IF(Biometria!F329=0,"",Biometria!F329)</f>
        <v/>
      </c>
      <c r="G319" s="62" t="str">
        <f>IF(Biometria!G329=0,"",Biometria!G329)</f>
        <v/>
      </c>
      <c r="H319" s="62" t="str">
        <f>IF(Biometria!H329=0,"",Biometria!H329)</f>
        <v/>
      </c>
      <c r="I319" s="62" t="str">
        <f>IF(Biometria!I329=0,"",Biometria!I329)</f>
        <v/>
      </c>
      <c r="J319" s="62" t="str">
        <f>IF(Biometria!J329=0,"",Biometria!J329)</f>
        <v/>
      </c>
      <c r="K319" s="62" t="str">
        <f>IF(Biometria!K329=0,"",Biometria!K329)</f>
        <v/>
      </c>
    </row>
    <row r="320" spans="1:11" x14ac:dyDescent="0.25">
      <c r="A320" s="62" t="str">
        <f>IF(LEN(B319)&gt;0,Biometria!A330,"")</f>
        <v/>
      </c>
      <c r="B320" s="62" t="str">
        <f>IF(LEN(Biometria!B330)=0,"",Biometria!B330)</f>
        <v/>
      </c>
      <c r="C320" s="62" t="str">
        <f>IF(Biometria!C330=0,"",Biometria!C330)</f>
        <v/>
      </c>
      <c r="D320" s="62" t="str">
        <f>IF(Biometria!D330=0,"",Biometria!D330)</f>
        <v/>
      </c>
      <c r="E320" s="62" t="str">
        <f>IF(Biometria!E330=0,"",Biometria!E330)</f>
        <v/>
      </c>
      <c r="F320" s="62" t="str">
        <f>IF(Biometria!F330=0,"",Biometria!F330)</f>
        <v/>
      </c>
      <c r="G320" s="62" t="str">
        <f>IF(Biometria!G330=0,"",Biometria!G330)</f>
        <v/>
      </c>
      <c r="H320" s="62" t="str">
        <f>IF(Biometria!H330=0,"",Biometria!H330)</f>
        <v/>
      </c>
      <c r="I320" s="62" t="str">
        <f>IF(Biometria!I330=0,"",Biometria!I330)</f>
        <v/>
      </c>
      <c r="J320" s="62" t="str">
        <f>IF(Biometria!J330=0,"",Biometria!J330)</f>
        <v/>
      </c>
      <c r="K320" s="62" t="str">
        <f>IF(Biometria!K330=0,"",Biometria!K330)</f>
        <v/>
      </c>
    </row>
    <row r="321" spans="1:11" x14ac:dyDescent="0.25">
      <c r="A321" s="62" t="str">
        <f>IF(LEN(B320)&gt;0,Biometria!A331,"")</f>
        <v/>
      </c>
      <c r="B321" s="62" t="str">
        <f>IF(LEN(Biometria!B331)=0,"",Biometria!B331)</f>
        <v/>
      </c>
      <c r="C321" s="62" t="str">
        <f>IF(Biometria!C331=0,"",Biometria!C331)</f>
        <v/>
      </c>
      <c r="D321" s="62" t="str">
        <f>IF(Biometria!D331=0,"",Biometria!D331)</f>
        <v/>
      </c>
      <c r="E321" s="62" t="str">
        <f>IF(Biometria!E331=0,"",Biometria!E331)</f>
        <v/>
      </c>
      <c r="F321" s="62" t="str">
        <f>IF(Biometria!F331=0,"",Biometria!F331)</f>
        <v/>
      </c>
      <c r="G321" s="62" t="str">
        <f>IF(Biometria!G331=0,"",Biometria!G331)</f>
        <v/>
      </c>
      <c r="H321" s="62" t="str">
        <f>IF(Biometria!H331=0,"",Biometria!H331)</f>
        <v/>
      </c>
      <c r="I321" s="62" t="str">
        <f>IF(Biometria!I331=0,"",Biometria!I331)</f>
        <v/>
      </c>
      <c r="J321" s="62" t="str">
        <f>IF(Biometria!J331=0,"",Biometria!J331)</f>
        <v/>
      </c>
      <c r="K321" s="62" t="str">
        <f>IF(Biometria!K331=0,"",Biometria!K331)</f>
        <v/>
      </c>
    </row>
    <row r="322" spans="1:11" x14ac:dyDescent="0.25">
      <c r="A322" s="62" t="str">
        <f>IF(LEN(B321)&gt;0,Biometria!A332,"")</f>
        <v/>
      </c>
      <c r="B322" s="62" t="str">
        <f>IF(LEN(Biometria!B332)=0,"",Biometria!B332)</f>
        <v/>
      </c>
      <c r="C322" s="62" t="str">
        <f>IF(Biometria!C332=0,"",Biometria!C332)</f>
        <v/>
      </c>
      <c r="D322" s="62" t="str">
        <f>IF(Biometria!D332=0,"",Biometria!D332)</f>
        <v/>
      </c>
      <c r="E322" s="62" t="str">
        <f>IF(Biometria!E332=0,"",Biometria!E332)</f>
        <v/>
      </c>
      <c r="F322" s="62" t="str">
        <f>IF(Biometria!F332=0,"",Biometria!F332)</f>
        <v/>
      </c>
      <c r="G322" s="62" t="str">
        <f>IF(Biometria!G332=0,"",Biometria!G332)</f>
        <v/>
      </c>
      <c r="H322" s="62" t="str">
        <f>IF(Biometria!H332=0,"",Biometria!H332)</f>
        <v/>
      </c>
      <c r="I322" s="62" t="str">
        <f>IF(Biometria!I332=0,"",Biometria!I332)</f>
        <v/>
      </c>
      <c r="J322" s="62" t="str">
        <f>IF(Biometria!J332=0,"",Biometria!J332)</f>
        <v/>
      </c>
      <c r="K322" s="62" t="str">
        <f>IF(Biometria!K332=0,"",Biometria!K332)</f>
        <v/>
      </c>
    </row>
    <row r="323" spans="1:11" x14ac:dyDescent="0.25">
      <c r="A323" s="62" t="str">
        <f>IF(LEN(B322)&gt;0,Biometria!A333,"")</f>
        <v/>
      </c>
      <c r="B323" s="62" t="str">
        <f>IF(LEN(Biometria!B333)=0,"",Biometria!B333)</f>
        <v/>
      </c>
      <c r="C323" s="62" t="str">
        <f>IF(Biometria!C333=0,"",Biometria!C333)</f>
        <v/>
      </c>
      <c r="D323" s="62" t="str">
        <f>IF(Biometria!D333=0,"",Biometria!D333)</f>
        <v/>
      </c>
      <c r="E323" s="62" t="str">
        <f>IF(Biometria!E333=0,"",Biometria!E333)</f>
        <v/>
      </c>
      <c r="F323" s="62" t="str">
        <f>IF(Biometria!F333=0,"",Biometria!F333)</f>
        <v/>
      </c>
      <c r="G323" s="62" t="str">
        <f>IF(Biometria!G333=0,"",Biometria!G333)</f>
        <v/>
      </c>
      <c r="H323" s="62" t="str">
        <f>IF(Biometria!H333=0,"",Biometria!H333)</f>
        <v/>
      </c>
      <c r="I323" s="62" t="str">
        <f>IF(Biometria!I333=0,"",Biometria!I333)</f>
        <v/>
      </c>
      <c r="J323" s="62" t="str">
        <f>IF(Biometria!J333=0,"",Biometria!J333)</f>
        <v/>
      </c>
      <c r="K323" s="62" t="str">
        <f>IF(Biometria!K333=0,"",Biometria!K333)</f>
        <v/>
      </c>
    </row>
    <row r="324" spans="1:11" x14ac:dyDescent="0.25">
      <c r="A324" s="62" t="str">
        <f>IF(LEN(B323)&gt;0,Biometria!A334,"")</f>
        <v/>
      </c>
      <c r="B324" s="62" t="str">
        <f>IF(LEN(Biometria!B334)=0,"",Biometria!B334)</f>
        <v/>
      </c>
      <c r="C324" s="62" t="str">
        <f>IF(Biometria!C334=0,"",Biometria!C334)</f>
        <v/>
      </c>
      <c r="D324" s="62" t="str">
        <f>IF(Biometria!D334=0,"",Biometria!D334)</f>
        <v/>
      </c>
      <c r="E324" s="62" t="str">
        <f>IF(Biometria!E334=0,"",Biometria!E334)</f>
        <v/>
      </c>
      <c r="F324" s="62" t="str">
        <f>IF(Biometria!F334=0,"",Biometria!F334)</f>
        <v/>
      </c>
      <c r="G324" s="62" t="str">
        <f>IF(Biometria!G334=0,"",Biometria!G334)</f>
        <v/>
      </c>
      <c r="H324" s="62" t="str">
        <f>IF(Biometria!H334=0,"",Biometria!H334)</f>
        <v/>
      </c>
      <c r="I324" s="62" t="str">
        <f>IF(Biometria!I334=0,"",Biometria!I334)</f>
        <v/>
      </c>
      <c r="J324" s="62" t="str">
        <f>IF(Biometria!J334=0,"",Biometria!J334)</f>
        <v/>
      </c>
      <c r="K324" s="62" t="str">
        <f>IF(Biometria!K334=0,"",Biometria!K334)</f>
        <v/>
      </c>
    </row>
    <row r="325" spans="1:11" x14ac:dyDescent="0.25">
      <c r="A325" s="62" t="str">
        <f>IF(LEN(B324)&gt;0,Biometria!A335,"")</f>
        <v/>
      </c>
      <c r="B325" s="62" t="str">
        <f>IF(LEN(Biometria!B335)=0,"",Biometria!B335)</f>
        <v/>
      </c>
      <c r="C325" s="62" t="str">
        <f>IF(Biometria!C335=0,"",Biometria!C335)</f>
        <v/>
      </c>
      <c r="D325" s="62" t="str">
        <f>IF(Biometria!D335=0,"",Biometria!D335)</f>
        <v/>
      </c>
      <c r="E325" s="62" t="str">
        <f>IF(Biometria!E335=0,"",Biometria!E335)</f>
        <v/>
      </c>
      <c r="F325" s="62" t="str">
        <f>IF(Biometria!F335=0,"",Biometria!F335)</f>
        <v/>
      </c>
      <c r="G325" s="62" t="str">
        <f>IF(Biometria!G335=0,"",Biometria!G335)</f>
        <v/>
      </c>
      <c r="H325" s="62" t="str">
        <f>IF(Biometria!H335=0,"",Biometria!H335)</f>
        <v/>
      </c>
      <c r="I325" s="62" t="str">
        <f>IF(Biometria!I335=0,"",Biometria!I335)</f>
        <v/>
      </c>
      <c r="J325" s="62" t="str">
        <f>IF(Biometria!J335=0,"",Biometria!J335)</f>
        <v/>
      </c>
      <c r="K325" s="62" t="str">
        <f>IF(Biometria!K335=0,"",Biometria!K335)</f>
        <v/>
      </c>
    </row>
    <row r="326" spans="1:11" x14ac:dyDescent="0.25">
      <c r="A326" s="62" t="str">
        <f>IF(LEN(B325)&gt;0,Biometria!A336,"")</f>
        <v/>
      </c>
      <c r="B326" s="62" t="str">
        <f>IF(LEN(Biometria!B336)=0,"",Biometria!B336)</f>
        <v/>
      </c>
      <c r="C326" s="62" t="str">
        <f>IF(Biometria!C336=0,"",Biometria!C336)</f>
        <v/>
      </c>
      <c r="D326" s="62" t="str">
        <f>IF(Biometria!D336=0,"",Biometria!D336)</f>
        <v/>
      </c>
      <c r="E326" s="62" t="str">
        <f>IF(Biometria!E336=0,"",Biometria!E336)</f>
        <v/>
      </c>
      <c r="F326" s="62" t="str">
        <f>IF(Biometria!F336=0,"",Biometria!F336)</f>
        <v/>
      </c>
      <c r="G326" s="62" t="str">
        <f>IF(Biometria!G336=0,"",Biometria!G336)</f>
        <v/>
      </c>
      <c r="H326" s="62" t="str">
        <f>IF(Biometria!H336=0,"",Biometria!H336)</f>
        <v/>
      </c>
      <c r="I326" s="62" t="str">
        <f>IF(Biometria!I336=0,"",Biometria!I336)</f>
        <v/>
      </c>
      <c r="J326" s="62" t="str">
        <f>IF(Biometria!J336=0,"",Biometria!J336)</f>
        <v/>
      </c>
      <c r="K326" s="62" t="str">
        <f>IF(Biometria!K336=0,"",Biometria!K336)</f>
        <v/>
      </c>
    </row>
    <row r="327" spans="1:11" x14ac:dyDescent="0.25">
      <c r="A327" s="62" t="str">
        <f>IF(LEN(B326)&gt;0,Biometria!A337,"")</f>
        <v/>
      </c>
      <c r="B327" s="62" t="str">
        <f>IF(LEN(Biometria!B337)=0,"",Biometria!B337)</f>
        <v/>
      </c>
      <c r="C327" s="62" t="str">
        <f>IF(Biometria!C337=0,"",Biometria!C337)</f>
        <v/>
      </c>
      <c r="D327" s="62" t="str">
        <f>IF(Biometria!D337=0,"",Biometria!D337)</f>
        <v/>
      </c>
      <c r="E327" s="62" t="str">
        <f>IF(Biometria!E337=0,"",Biometria!E337)</f>
        <v/>
      </c>
      <c r="F327" s="62" t="str">
        <f>IF(Biometria!F337=0,"",Biometria!F337)</f>
        <v/>
      </c>
      <c r="G327" s="62" t="str">
        <f>IF(Biometria!G337=0,"",Biometria!G337)</f>
        <v/>
      </c>
      <c r="H327" s="62" t="str">
        <f>IF(Biometria!H337=0,"",Biometria!H337)</f>
        <v/>
      </c>
      <c r="I327" s="62" t="str">
        <f>IF(Biometria!I337=0,"",Biometria!I337)</f>
        <v/>
      </c>
      <c r="J327" s="62" t="str">
        <f>IF(Biometria!J337=0,"",Biometria!J337)</f>
        <v/>
      </c>
      <c r="K327" s="62" t="str">
        <f>IF(Biometria!K337=0,"",Biometria!K337)</f>
        <v/>
      </c>
    </row>
    <row r="328" spans="1:11" x14ac:dyDescent="0.25">
      <c r="A328" s="62" t="str">
        <f>IF(LEN(B327)&gt;0,Biometria!A338,"")</f>
        <v/>
      </c>
      <c r="B328" s="62" t="str">
        <f>IF(LEN(Biometria!B338)=0,"",Biometria!B338)</f>
        <v/>
      </c>
      <c r="C328" s="62" t="str">
        <f>IF(Biometria!C338=0,"",Biometria!C338)</f>
        <v/>
      </c>
      <c r="D328" s="62" t="str">
        <f>IF(Biometria!D338=0,"",Biometria!D338)</f>
        <v/>
      </c>
      <c r="E328" s="62" t="str">
        <f>IF(Biometria!E338=0,"",Biometria!E338)</f>
        <v/>
      </c>
      <c r="F328" s="62" t="str">
        <f>IF(Biometria!F338=0,"",Biometria!F338)</f>
        <v/>
      </c>
      <c r="G328" s="62" t="str">
        <f>IF(Biometria!G338=0,"",Biometria!G338)</f>
        <v/>
      </c>
      <c r="H328" s="62" t="str">
        <f>IF(Biometria!H338=0,"",Biometria!H338)</f>
        <v/>
      </c>
      <c r="I328" s="62" t="str">
        <f>IF(Biometria!I338=0,"",Biometria!I338)</f>
        <v/>
      </c>
      <c r="J328" s="62" t="str">
        <f>IF(Biometria!J338=0,"",Biometria!J338)</f>
        <v/>
      </c>
      <c r="K328" s="62" t="str">
        <f>IF(Biometria!K338=0,"",Biometria!K338)</f>
        <v/>
      </c>
    </row>
    <row r="329" spans="1:11" x14ac:dyDescent="0.25">
      <c r="A329" s="62" t="str">
        <f>IF(LEN(B328)&gt;0,Biometria!A339,"")</f>
        <v/>
      </c>
      <c r="B329" s="62" t="str">
        <f>IF(LEN(Biometria!B339)=0,"",Biometria!B339)</f>
        <v/>
      </c>
      <c r="C329" s="62" t="str">
        <f>IF(Biometria!C339=0,"",Biometria!C339)</f>
        <v/>
      </c>
      <c r="D329" s="62" t="str">
        <f>IF(Biometria!D339=0,"",Biometria!D339)</f>
        <v/>
      </c>
      <c r="E329" s="62" t="str">
        <f>IF(Biometria!E339=0,"",Biometria!E339)</f>
        <v/>
      </c>
      <c r="F329" s="62" t="str">
        <f>IF(Biometria!F339=0,"",Biometria!F339)</f>
        <v/>
      </c>
      <c r="G329" s="62" t="str">
        <f>IF(Biometria!G339=0,"",Biometria!G339)</f>
        <v/>
      </c>
      <c r="H329" s="62" t="str">
        <f>IF(Biometria!H339=0,"",Biometria!H339)</f>
        <v/>
      </c>
      <c r="I329" s="62" t="str">
        <f>IF(Biometria!I339=0,"",Biometria!I339)</f>
        <v/>
      </c>
      <c r="J329" s="62" t="str">
        <f>IF(Biometria!J339=0,"",Biometria!J339)</f>
        <v/>
      </c>
      <c r="K329" s="62" t="str">
        <f>IF(Biometria!K339=0,"",Biometria!K339)</f>
        <v/>
      </c>
    </row>
    <row r="330" spans="1:11" x14ac:dyDescent="0.25">
      <c r="A330" s="62" t="str">
        <f>IF(LEN(B329)&gt;0,Biometria!A340,"")</f>
        <v/>
      </c>
      <c r="B330" s="62" t="str">
        <f>IF(LEN(Biometria!B340)=0,"",Biometria!B340)</f>
        <v/>
      </c>
      <c r="C330" s="62" t="str">
        <f>IF(Biometria!C340=0,"",Biometria!C340)</f>
        <v/>
      </c>
      <c r="D330" s="62" t="str">
        <f>IF(Biometria!D340=0,"",Biometria!D340)</f>
        <v/>
      </c>
      <c r="E330" s="62" t="str">
        <f>IF(Biometria!E340=0,"",Biometria!E340)</f>
        <v/>
      </c>
      <c r="F330" s="62" t="str">
        <f>IF(Biometria!F340=0,"",Biometria!F340)</f>
        <v/>
      </c>
      <c r="G330" s="62" t="str">
        <f>IF(Biometria!G340=0,"",Biometria!G340)</f>
        <v/>
      </c>
      <c r="H330" s="62" t="str">
        <f>IF(Biometria!H340=0,"",Biometria!H340)</f>
        <v/>
      </c>
      <c r="I330" s="62" t="str">
        <f>IF(Biometria!I340=0,"",Biometria!I340)</f>
        <v/>
      </c>
      <c r="J330" s="62" t="str">
        <f>IF(Biometria!J340=0,"",Biometria!J340)</f>
        <v/>
      </c>
      <c r="K330" s="62" t="str">
        <f>IF(Biometria!K340=0,"",Biometria!K340)</f>
        <v/>
      </c>
    </row>
    <row r="331" spans="1:11" x14ac:dyDescent="0.25">
      <c r="A331" s="62" t="str">
        <f>IF(LEN(B330)&gt;0,Biometria!A341,"")</f>
        <v/>
      </c>
      <c r="B331" s="62" t="str">
        <f>IF(LEN(Biometria!B341)=0,"",Biometria!B341)</f>
        <v/>
      </c>
      <c r="C331" s="62" t="str">
        <f>IF(Biometria!C341=0,"",Biometria!C341)</f>
        <v/>
      </c>
      <c r="D331" s="62" t="str">
        <f>IF(Biometria!D341=0,"",Biometria!D341)</f>
        <v/>
      </c>
      <c r="E331" s="62" t="str">
        <f>IF(Biometria!E341=0,"",Biometria!E341)</f>
        <v/>
      </c>
      <c r="F331" s="62" t="str">
        <f>IF(Biometria!F341=0,"",Biometria!F341)</f>
        <v/>
      </c>
      <c r="G331" s="62" t="str">
        <f>IF(Biometria!G341=0,"",Biometria!G341)</f>
        <v/>
      </c>
      <c r="H331" s="62" t="str">
        <f>IF(Biometria!H341=0,"",Biometria!H341)</f>
        <v/>
      </c>
      <c r="I331" s="62" t="str">
        <f>IF(Biometria!I341=0,"",Biometria!I341)</f>
        <v/>
      </c>
      <c r="J331" s="62" t="str">
        <f>IF(Biometria!J341=0,"",Biometria!J341)</f>
        <v/>
      </c>
      <c r="K331" s="62" t="str">
        <f>IF(Biometria!K341=0,"",Biometria!K341)</f>
        <v/>
      </c>
    </row>
    <row r="332" spans="1:11" x14ac:dyDescent="0.25">
      <c r="A332" s="62" t="str">
        <f>IF(LEN(B331)&gt;0,Biometria!A342,"")</f>
        <v/>
      </c>
      <c r="B332" s="62" t="str">
        <f>IF(LEN(Biometria!B342)=0,"",Biometria!B342)</f>
        <v/>
      </c>
      <c r="C332" s="62" t="str">
        <f>IF(Biometria!C342=0,"",Biometria!C342)</f>
        <v/>
      </c>
      <c r="D332" s="62" t="str">
        <f>IF(Biometria!D342=0,"",Biometria!D342)</f>
        <v/>
      </c>
      <c r="E332" s="62" t="str">
        <f>IF(Biometria!E342=0,"",Biometria!E342)</f>
        <v/>
      </c>
      <c r="F332" s="62" t="str">
        <f>IF(Biometria!F342=0,"",Biometria!F342)</f>
        <v/>
      </c>
      <c r="G332" s="62" t="str">
        <f>IF(Biometria!G342=0,"",Biometria!G342)</f>
        <v/>
      </c>
      <c r="H332" s="62" t="str">
        <f>IF(Biometria!H342=0,"",Biometria!H342)</f>
        <v/>
      </c>
      <c r="I332" s="62" t="str">
        <f>IF(Biometria!I342=0,"",Biometria!I342)</f>
        <v/>
      </c>
      <c r="J332" s="62" t="str">
        <f>IF(Biometria!J342=0,"",Biometria!J342)</f>
        <v/>
      </c>
      <c r="K332" s="62" t="str">
        <f>IF(Biometria!K342=0,"",Biometria!K342)</f>
        <v/>
      </c>
    </row>
    <row r="333" spans="1:11" x14ac:dyDescent="0.25">
      <c r="A333" s="62" t="str">
        <f>IF(LEN(B332)&gt;0,Biometria!A343,"")</f>
        <v/>
      </c>
      <c r="B333" s="62" t="str">
        <f>IF(LEN(Biometria!B343)=0,"",Biometria!B343)</f>
        <v/>
      </c>
      <c r="C333" s="62" t="str">
        <f>IF(Biometria!C343=0,"",Biometria!C343)</f>
        <v/>
      </c>
      <c r="D333" s="62" t="str">
        <f>IF(Biometria!D343=0,"",Biometria!D343)</f>
        <v/>
      </c>
      <c r="E333" s="62" t="str">
        <f>IF(Biometria!E343=0,"",Biometria!E343)</f>
        <v/>
      </c>
      <c r="F333" s="62" t="str">
        <f>IF(Biometria!F343=0,"",Biometria!F343)</f>
        <v/>
      </c>
      <c r="G333" s="62" t="str">
        <f>IF(Biometria!G343=0,"",Biometria!G343)</f>
        <v/>
      </c>
      <c r="H333" s="62" t="str">
        <f>IF(Biometria!H343=0,"",Biometria!H343)</f>
        <v/>
      </c>
      <c r="I333" s="62" t="str">
        <f>IF(Biometria!I343=0,"",Biometria!I343)</f>
        <v/>
      </c>
      <c r="J333" s="62" t="str">
        <f>IF(Biometria!J343=0,"",Biometria!J343)</f>
        <v/>
      </c>
      <c r="K333" s="62" t="str">
        <f>IF(Biometria!K343=0,"",Biometria!K343)</f>
        <v/>
      </c>
    </row>
    <row r="334" spans="1:11" x14ac:dyDescent="0.25">
      <c r="A334" s="62" t="str">
        <f>IF(LEN(B333)&gt;0,Biometria!A344,"")</f>
        <v/>
      </c>
      <c r="B334" s="62" t="str">
        <f>IF(LEN(Biometria!B344)=0,"",Biometria!B344)</f>
        <v/>
      </c>
      <c r="C334" s="62" t="str">
        <f>IF(Biometria!C344=0,"",Biometria!C344)</f>
        <v/>
      </c>
      <c r="D334" s="62" t="str">
        <f>IF(Biometria!D344=0,"",Biometria!D344)</f>
        <v/>
      </c>
      <c r="E334" s="62" t="str">
        <f>IF(Biometria!E344=0,"",Biometria!E344)</f>
        <v/>
      </c>
      <c r="F334" s="62" t="str">
        <f>IF(Biometria!F344=0,"",Biometria!F344)</f>
        <v/>
      </c>
      <c r="G334" s="62" t="str">
        <f>IF(Biometria!G344=0,"",Biometria!G344)</f>
        <v/>
      </c>
      <c r="H334" s="62" t="str">
        <f>IF(Biometria!H344=0,"",Biometria!H344)</f>
        <v/>
      </c>
      <c r="I334" s="62" t="str">
        <f>IF(Biometria!I344=0,"",Biometria!I344)</f>
        <v/>
      </c>
      <c r="J334" s="62" t="str">
        <f>IF(Biometria!J344=0,"",Biometria!J344)</f>
        <v/>
      </c>
      <c r="K334" s="62" t="str">
        <f>IF(Biometria!K344=0,"",Biometria!K344)</f>
        <v/>
      </c>
    </row>
    <row r="335" spans="1:11" x14ac:dyDescent="0.25">
      <c r="A335" s="62" t="str">
        <f>IF(LEN(B334)&gt;0,Biometria!A345,"")</f>
        <v/>
      </c>
      <c r="B335" s="62" t="str">
        <f>IF(LEN(Biometria!B345)=0,"",Biometria!B345)</f>
        <v/>
      </c>
      <c r="C335" s="62" t="str">
        <f>IF(Biometria!C345=0,"",Biometria!C345)</f>
        <v/>
      </c>
      <c r="D335" s="62" t="str">
        <f>IF(Biometria!D345=0,"",Biometria!D345)</f>
        <v/>
      </c>
      <c r="E335" s="62" t="str">
        <f>IF(Biometria!E345=0,"",Biometria!E345)</f>
        <v/>
      </c>
      <c r="F335" s="62" t="str">
        <f>IF(Biometria!F345=0,"",Biometria!F345)</f>
        <v/>
      </c>
      <c r="G335" s="62" t="str">
        <f>IF(Biometria!G345=0,"",Biometria!G345)</f>
        <v/>
      </c>
      <c r="H335" s="62" t="str">
        <f>IF(Biometria!H345=0,"",Biometria!H345)</f>
        <v/>
      </c>
      <c r="I335" s="62" t="str">
        <f>IF(Biometria!I345=0,"",Biometria!I345)</f>
        <v/>
      </c>
      <c r="J335" s="62" t="str">
        <f>IF(Biometria!J345=0,"",Biometria!J345)</f>
        <v/>
      </c>
      <c r="K335" s="62" t="str">
        <f>IF(Biometria!K345=0,"",Biometria!K345)</f>
        <v/>
      </c>
    </row>
    <row r="336" spans="1:11" x14ac:dyDescent="0.25">
      <c r="A336" s="62" t="str">
        <f>IF(LEN(B335)&gt;0,Biometria!A346,"")</f>
        <v/>
      </c>
      <c r="B336" s="62" t="str">
        <f>IF(LEN(Biometria!B346)=0,"",Biometria!B346)</f>
        <v/>
      </c>
      <c r="C336" s="62" t="str">
        <f>IF(Biometria!C346=0,"",Biometria!C346)</f>
        <v/>
      </c>
      <c r="D336" s="62" t="str">
        <f>IF(Biometria!D346=0,"",Biometria!D346)</f>
        <v/>
      </c>
      <c r="E336" s="62" t="str">
        <f>IF(Biometria!E346=0,"",Biometria!E346)</f>
        <v/>
      </c>
      <c r="F336" s="62" t="str">
        <f>IF(Biometria!F346=0,"",Biometria!F346)</f>
        <v/>
      </c>
      <c r="G336" s="62" t="str">
        <f>IF(Biometria!G346=0,"",Biometria!G346)</f>
        <v/>
      </c>
      <c r="H336" s="62" t="str">
        <f>IF(Biometria!H346=0,"",Biometria!H346)</f>
        <v/>
      </c>
      <c r="I336" s="62" t="str">
        <f>IF(Biometria!I346=0,"",Biometria!I346)</f>
        <v/>
      </c>
      <c r="J336" s="62" t="str">
        <f>IF(Biometria!J346=0,"",Biometria!J346)</f>
        <v/>
      </c>
      <c r="K336" s="62" t="str">
        <f>IF(Biometria!K346=0,"",Biometria!K346)</f>
        <v/>
      </c>
    </row>
    <row r="337" spans="1:11" x14ac:dyDescent="0.25">
      <c r="A337" s="62" t="str">
        <f>IF(LEN(B336)&gt;0,Biometria!A347,"")</f>
        <v/>
      </c>
      <c r="B337" s="62" t="str">
        <f>IF(LEN(Biometria!B347)=0,"",Biometria!B347)</f>
        <v/>
      </c>
      <c r="C337" s="62" t="str">
        <f>IF(Biometria!C347=0,"",Biometria!C347)</f>
        <v/>
      </c>
      <c r="D337" s="62" t="str">
        <f>IF(Biometria!D347=0,"",Biometria!D347)</f>
        <v/>
      </c>
      <c r="E337" s="62" t="str">
        <f>IF(Biometria!E347=0,"",Biometria!E347)</f>
        <v/>
      </c>
      <c r="F337" s="62" t="str">
        <f>IF(Biometria!F347=0,"",Biometria!F347)</f>
        <v/>
      </c>
      <c r="G337" s="62" t="str">
        <f>IF(Biometria!G347=0,"",Biometria!G347)</f>
        <v/>
      </c>
      <c r="H337" s="62" t="str">
        <f>IF(Biometria!H347=0,"",Biometria!H347)</f>
        <v/>
      </c>
      <c r="I337" s="62" t="str">
        <f>IF(Biometria!I347=0,"",Biometria!I347)</f>
        <v/>
      </c>
      <c r="J337" s="62" t="str">
        <f>IF(Biometria!J347=0,"",Biometria!J347)</f>
        <v/>
      </c>
      <c r="K337" s="62" t="str">
        <f>IF(Biometria!K347=0,"",Biometria!K347)</f>
        <v/>
      </c>
    </row>
    <row r="338" spans="1:11" x14ac:dyDescent="0.25">
      <c r="A338" s="62" t="str">
        <f>IF(LEN(B337)&gt;0,Biometria!A348,"")</f>
        <v/>
      </c>
      <c r="B338" s="62" t="str">
        <f>IF(LEN(Biometria!B348)=0,"",Biometria!B348)</f>
        <v/>
      </c>
      <c r="C338" s="62" t="str">
        <f>IF(Biometria!C348=0,"",Biometria!C348)</f>
        <v/>
      </c>
      <c r="D338" s="62" t="str">
        <f>IF(Biometria!D348=0,"",Biometria!D348)</f>
        <v/>
      </c>
      <c r="E338" s="62" t="str">
        <f>IF(Biometria!E348=0,"",Biometria!E348)</f>
        <v/>
      </c>
      <c r="F338" s="62" t="str">
        <f>IF(Biometria!F348=0,"",Biometria!F348)</f>
        <v/>
      </c>
      <c r="G338" s="62" t="str">
        <f>IF(Biometria!G348=0,"",Biometria!G348)</f>
        <v/>
      </c>
      <c r="H338" s="62" t="str">
        <f>IF(Biometria!H348=0,"",Biometria!H348)</f>
        <v/>
      </c>
      <c r="I338" s="62" t="str">
        <f>IF(Biometria!I348=0,"",Biometria!I348)</f>
        <v/>
      </c>
      <c r="J338" s="62" t="str">
        <f>IF(Biometria!J348=0,"",Biometria!J348)</f>
        <v/>
      </c>
      <c r="K338" s="62" t="str">
        <f>IF(Biometria!K348=0,"",Biometria!K348)</f>
        <v/>
      </c>
    </row>
    <row r="339" spans="1:11" x14ac:dyDescent="0.25">
      <c r="A339" s="62" t="str">
        <f>IF(LEN(B338)&gt;0,Biometria!A349,"")</f>
        <v/>
      </c>
      <c r="B339" s="62" t="str">
        <f>IF(LEN(Biometria!B349)=0,"",Biometria!B349)</f>
        <v/>
      </c>
      <c r="C339" s="62" t="str">
        <f>IF(Biometria!C349=0,"",Biometria!C349)</f>
        <v/>
      </c>
      <c r="D339" s="62" t="str">
        <f>IF(Biometria!D349=0,"",Biometria!D349)</f>
        <v/>
      </c>
      <c r="E339" s="62" t="str">
        <f>IF(Biometria!E349=0,"",Biometria!E349)</f>
        <v/>
      </c>
      <c r="F339" s="62" t="str">
        <f>IF(Biometria!F349=0,"",Biometria!F349)</f>
        <v/>
      </c>
      <c r="G339" s="62" t="str">
        <f>IF(Biometria!G349=0,"",Biometria!G349)</f>
        <v/>
      </c>
      <c r="H339" s="62" t="str">
        <f>IF(Biometria!H349=0,"",Biometria!H349)</f>
        <v/>
      </c>
      <c r="I339" s="62" t="str">
        <f>IF(Biometria!I349=0,"",Biometria!I349)</f>
        <v/>
      </c>
      <c r="J339" s="62" t="str">
        <f>IF(Biometria!J349=0,"",Biometria!J349)</f>
        <v/>
      </c>
      <c r="K339" s="62" t="str">
        <f>IF(Biometria!K349=0,"",Biometria!K349)</f>
        <v/>
      </c>
    </row>
    <row r="340" spans="1:11" x14ac:dyDescent="0.25">
      <c r="A340" s="62" t="str">
        <f>IF(LEN(B339)&gt;0,Biometria!A350,"")</f>
        <v/>
      </c>
      <c r="B340" s="62" t="str">
        <f>IF(LEN(Biometria!B350)=0,"",Biometria!B350)</f>
        <v/>
      </c>
      <c r="C340" s="62" t="str">
        <f>IF(Biometria!C350=0,"",Biometria!C350)</f>
        <v/>
      </c>
      <c r="D340" s="62" t="str">
        <f>IF(Biometria!D350=0,"",Biometria!D350)</f>
        <v/>
      </c>
      <c r="E340" s="62" t="str">
        <f>IF(Biometria!E350=0,"",Biometria!E350)</f>
        <v/>
      </c>
      <c r="F340" s="62" t="str">
        <f>IF(Biometria!F350=0,"",Biometria!F350)</f>
        <v/>
      </c>
      <c r="G340" s="62" t="str">
        <f>IF(Biometria!G350=0,"",Biometria!G350)</f>
        <v/>
      </c>
      <c r="H340" s="62" t="str">
        <f>IF(Biometria!H350=0,"",Biometria!H350)</f>
        <v/>
      </c>
      <c r="I340" s="62" t="str">
        <f>IF(Biometria!I350=0,"",Biometria!I350)</f>
        <v/>
      </c>
      <c r="J340" s="62" t="str">
        <f>IF(Biometria!J350=0,"",Biometria!J350)</f>
        <v/>
      </c>
      <c r="K340" s="62" t="str">
        <f>IF(Biometria!K350=0,"",Biometria!K350)</f>
        <v/>
      </c>
    </row>
    <row r="341" spans="1:11" x14ac:dyDescent="0.25">
      <c r="A341" s="62" t="str">
        <f>IF(LEN(B340)&gt;0,Biometria!A351,"")</f>
        <v/>
      </c>
      <c r="B341" s="62" t="str">
        <f>IF(LEN(Biometria!B351)=0,"",Biometria!B351)</f>
        <v/>
      </c>
      <c r="C341" s="62" t="str">
        <f>IF(Biometria!C351=0,"",Biometria!C351)</f>
        <v/>
      </c>
      <c r="D341" s="62" t="str">
        <f>IF(Biometria!D351=0,"",Biometria!D351)</f>
        <v/>
      </c>
      <c r="E341" s="62" t="str">
        <f>IF(Biometria!E351=0,"",Biometria!E351)</f>
        <v/>
      </c>
      <c r="F341" s="62" t="str">
        <f>IF(Biometria!F351=0,"",Biometria!F351)</f>
        <v/>
      </c>
      <c r="G341" s="62" t="str">
        <f>IF(Biometria!G351=0,"",Biometria!G351)</f>
        <v/>
      </c>
      <c r="H341" s="62" t="str">
        <f>IF(Biometria!H351=0,"",Biometria!H351)</f>
        <v/>
      </c>
      <c r="I341" s="62" t="str">
        <f>IF(Biometria!I351=0,"",Biometria!I351)</f>
        <v/>
      </c>
      <c r="J341" s="62" t="str">
        <f>IF(Biometria!J351=0,"",Biometria!J351)</f>
        <v/>
      </c>
      <c r="K341" s="62" t="str">
        <f>IF(Biometria!K351=0,"",Biometria!K351)</f>
        <v/>
      </c>
    </row>
    <row r="342" spans="1:11" x14ac:dyDescent="0.25">
      <c r="A342" s="62" t="str">
        <f>IF(LEN(B341)&gt;0,Biometria!A352,"")</f>
        <v/>
      </c>
      <c r="B342" s="62" t="str">
        <f>IF(LEN(Biometria!B352)=0,"",Biometria!B352)</f>
        <v/>
      </c>
      <c r="C342" s="62" t="str">
        <f>IF(Biometria!C352=0,"",Biometria!C352)</f>
        <v/>
      </c>
      <c r="D342" s="62" t="str">
        <f>IF(Biometria!D352=0,"",Biometria!D352)</f>
        <v/>
      </c>
      <c r="E342" s="62" t="str">
        <f>IF(Biometria!E352=0,"",Biometria!E352)</f>
        <v/>
      </c>
      <c r="F342" s="62" t="str">
        <f>IF(Biometria!F352=0,"",Biometria!F352)</f>
        <v/>
      </c>
      <c r="G342" s="62" t="str">
        <f>IF(Biometria!G352=0,"",Biometria!G352)</f>
        <v/>
      </c>
      <c r="H342" s="62" t="str">
        <f>IF(Biometria!H352=0,"",Biometria!H352)</f>
        <v/>
      </c>
      <c r="I342" s="62" t="str">
        <f>IF(Biometria!I352=0,"",Biometria!I352)</f>
        <v/>
      </c>
      <c r="J342" s="62" t="str">
        <f>IF(Biometria!J352=0,"",Biometria!J352)</f>
        <v/>
      </c>
      <c r="K342" s="62" t="str">
        <f>IF(Biometria!K352=0,"",Biometria!K352)</f>
        <v/>
      </c>
    </row>
    <row r="343" spans="1:11" x14ac:dyDescent="0.25">
      <c r="A343" s="62" t="str">
        <f>IF(LEN(B342)&gt;0,Biometria!A353,"")</f>
        <v/>
      </c>
      <c r="B343" s="62" t="str">
        <f>IF(LEN(Biometria!B353)=0,"",Biometria!B353)</f>
        <v/>
      </c>
      <c r="C343" s="62" t="str">
        <f>IF(Biometria!C353=0,"",Biometria!C353)</f>
        <v/>
      </c>
      <c r="D343" s="62" t="str">
        <f>IF(Biometria!D353=0,"",Biometria!D353)</f>
        <v/>
      </c>
      <c r="E343" s="62" t="str">
        <f>IF(Biometria!E353=0,"",Biometria!E353)</f>
        <v/>
      </c>
      <c r="F343" s="62" t="str">
        <f>IF(Biometria!F353=0,"",Biometria!F353)</f>
        <v/>
      </c>
      <c r="G343" s="62" t="str">
        <f>IF(Biometria!G353=0,"",Biometria!G353)</f>
        <v/>
      </c>
      <c r="H343" s="62" t="str">
        <f>IF(Biometria!H353=0,"",Biometria!H353)</f>
        <v/>
      </c>
      <c r="I343" s="62" t="str">
        <f>IF(Biometria!I353=0,"",Biometria!I353)</f>
        <v/>
      </c>
      <c r="J343" s="62" t="str">
        <f>IF(Biometria!J353=0,"",Biometria!J353)</f>
        <v/>
      </c>
      <c r="K343" s="62" t="str">
        <f>IF(Biometria!K353=0,"",Biometria!K353)</f>
        <v/>
      </c>
    </row>
    <row r="344" spans="1:11" x14ac:dyDescent="0.25">
      <c r="A344" s="62" t="str">
        <f>IF(LEN(B343)&gt;0,Biometria!A354,"")</f>
        <v/>
      </c>
      <c r="B344" s="62" t="str">
        <f>IF(LEN(Biometria!B354)=0,"",Biometria!B354)</f>
        <v/>
      </c>
      <c r="C344" s="62" t="str">
        <f>IF(Biometria!C354=0,"",Biometria!C354)</f>
        <v/>
      </c>
      <c r="D344" s="62" t="str">
        <f>IF(Biometria!D354=0,"",Biometria!D354)</f>
        <v/>
      </c>
      <c r="E344" s="62" t="str">
        <f>IF(Biometria!E354=0,"",Biometria!E354)</f>
        <v/>
      </c>
      <c r="F344" s="62" t="str">
        <f>IF(Biometria!F354=0,"",Biometria!F354)</f>
        <v/>
      </c>
      <c r="G344" s="62" t="str">
        <f>IF(Biometria!G354=0,"",Biometria!G354)</f>
        <v/>
      </c>
      <c r="H344" s="62" t="str">
        <f>IF(Biometria!H354=0,"",Biometria!H354)</f>
        <v/>
      </c>
      <c r="I344" s="62" t="str">
        <f>IF(Biometria!I354=0,"",Biometria!I354)</f>
        <v/>
      </c>
      <c r="J344" s="62" t="str">
        <f>IF(Biometria!J354=0,"",Biometria!J354)</f>
        <v/>
      </c>
      <c r="K344" s="62" t="str">
        <f>IF(Biometria!K354=0,"",Biometria!K354)</f>
        <v/>
      </c>
    </row>
    <row r="345" spans="1:11" x14ac:dyDescent="0.25">
      <c r="A345" s="62" t="str">
        <f>IF(LEN(B344)&gt;0,Biometria!A355,"")</f>
        <v/>
      </c>
      <c r="B345" s="62" t="str">
        <f>IF(LEN(Biometria!B355)=0,"",Biometria!B355)</f>
        <v/>
      </c>
      <c r="C345" s="62" t="str">
        <f>IF(Biometria!C355=0,"",Biometria!C355)</f>
        <v/>
      </c>
      <c r="D345" s="62" t="str">
        <f>IF(Biometria!D355=0,"",Biometria!D355)</f>
        <v/>
      </c>
      <c r="E345" s="62" t="str">
        <f>IF(Biometria!E355=0,"",Biometria!E355)</f>
        <v/>
      </c>
      <c r="F345" s="62" t="str">
        <f>IF(Biometria!F355=0,"",Biometria!F355)</f>
        <v/>
      </c>
      <c r="G345" s="62" t="str">
        <f>IF(Biometria!G355=0,"",Biometria!G355)</f>
        <v/>
      </c>
      <c r="H345" s="62" t="str">
        <f>IF(Biometria!H355=0,"",Biometria!H355)</f>
        <v/>
      </c>
      <c r="I345" s="62" t="str">
        <f>IF(Biometria!I355=0,"",Biometria!I355)</f>
        <v/>
      </c>
      <c r="J345" s="62" t="str">
        <f>IF(Biometria!J355=0,"",Biometria!J355)</f>
        <v/>
      </c>
      <c r="K345" s="62" t="str">
        <f>IF(Biometria!K355=0,"",Biometria!K355)</f>
        <v/>
      </c>
    </row>
    <row r="346" spans="1:11" x14ac:dyDescent="0.25">
      <c r="A346" s="62" t="str">
        <f>IF(LEN(B345)&gt;0,Biometria!A356,"")</f>
        <v/>
      </c>
      <c r="B346" s="62" t="str">
        <f>IF(LEN(Biometria!B356)=0,"",Biometria!B356)</f>
        <v/>
      </c>
      <c r="C346" s="62" t="str">
        <f>IF(Biometria!C356=0,"",Biometria!C356)</f>
        <v/>
      </c>
      <c r="D346" s="62" t="str">
        <f>IF(Biometria!D356=0,"",Biometria!D356)</f>
        <v/>
      </c>
      <c r="E346" s="62" t="str">
        <f>IF(Biometria!E356=0,"",Biometria!E356)</f>
        <v/>
      </c>
      <c r="F346" s="62" t="str">
        <f>IF(Biometria!F356=0,"",Biometria!F356)</f>
        <v/>
      </c>
      <c r="G346" s="62" t="str">
        <f>IF(Biometria!G356=0,"",Biometria!G356)</f>
        <v/>
      </c>
      <c r="H346" s="62" t="str">
        <f>IF(Biometria!H356=0,"",Biometria!H356)</f>
        <v/>
      </c>
      <c r="I346" s="62" t="str">
        <f>IF(Biometria!I356=0,"",Biometria!I356)</f>
        <v/>
      </c>
      <c r="J346" s="62" t="str">
        <f>IF(Biometria!J356=0,"",Biometria!J356)</f>
        <v/>
      </c>
      <c r="K346" s="62" t="str">
        <f>IF(Biometria!K356=0,"",Biometria!K356)</f>
        <v/>
      </c>
    </row>
    <row r="347" spans="1:11" x14ac:dyDescent="0.25">
      <c r="A347" s="62" t="str">
        <f>IF(LEN(B346)&gt;0,Biometria!A357,"")</f>
        <v/>
      </c>
      <c r="B347" s="62" t="str">
        <f>IF(LEN(Biometria!B357)=0,"",Biometria!B357)</f>
        <v/>
      </c>
      <c r="C347" s="62" t="str">
        <f>IF(Biometria!C357=0,"",Biometria!C357)</f>
        <v/>
      </c>
      <c r="D347" s="62" t="str">
        <f>IF(Biometria!D357=0,"",Biometria!D357)</f>
        <v/>
      </c>
      <c r="E347" s="62" t="str">
        <f>IF(Biometria!E357=0,"",Biometria!E357)</f>
        <v/>
      </c>
      <c r="F347" s="62" t="str">
        <f>IF(Biometria!F357=0,"",Biometria!F357)</f>
        <v/>
      </c>
      <c r="G347" s="62" t="str">
        <f>IF(Biometria!G357=0,"",Biometria!G357)</f>
        <v/>
      </c>
      <c r="H347" s="62" t="str">
        <f>IF(Biometria!H357=0,"",Biometria!H357)</f>
        <v/>
      </c>
      <c r="I347" s="62" t="str">
        <f>IF(Biometria!I357=0,"",Biometria!I357)</f>
        <v/>
      </c>
      <c r="J347" s="62" t="str">
        <f>IF(Biometria!J357=0,"",Biometria!J357)</f>
        <v/>
      </c>
      <c r="K347" s="62" t="str">
        <f>IF(Biometria!K357=0,"",Biometria!K357)</f>
        <v/>
      </c>
    </row>
    <row r="348" spans="1:11" x14ac:dyDescent="0.25">
      <c r="A348" s="62" t="str">
        <f>IF(LEN(B347)&gt;0,Biometria!A358,"")</f>
        <v/>
      </c>
      <c r="B348" s="62" t="str">
        <f>IF(LEN(Biometria!B358)=0,"",Biometria!B358)</f>
        <v/>
      </c>
      <c r="C348" s="62" t="str">
        <f>IF(Biometria!C358=0,"",Biometria!C358)</f>
        <v/>
      </c>
      <c r="D348" s="62" t="str">
        <f>IF(Biometria!D358=0,"",Biometria!D358)</f>
        <v/>
      </c>
      <c r="E348" s="62" t="str">
        <f>IF(Biometria!E358=0,"",Biometria!E358)</f>
        <v/>
      </c>
      <c r="F348" s="62" t="str">
        <f>IF(Biometria!F358=0,"",Biometria!F358)</f>
        <v/>
      </c>
      <c r="G348" s="62" t="str">
        <f>IF(Biometria!G358=0,"",Biometria!G358)</f>
        <v/>
      </c>
      <c r="H348" s="62" t="str">
        <f>IF(Biometria!H358=0,"",Biometria!H358)</f>
        <v/>
      </c>
      <c r="I348" s="62" t="str">
        <f>IF(Biometria!I358=0,"",Biometria!I358)</f>
        <v/>
      </c>
      <c r="J348" s="62" t="str">
        <f>IF(Biometria!J358=0,"",Biometria!J358)</f>
        <v/>
      </c>
      <c r="K348" s="62" t="str">
        <f>IF(Biometria!K358=0,"",Biometria!K358)</f>
        <v/>
      </c>
    </row>
    <row r="349" spans="1:11" x14ac:dyDescent="0.25">
      <c r="A349" s="62" t="str">
        <f>IF(LEN(B348)&gt;0,Biometria!A359,"")</f>
        <v/>
      </c>
      <c r="B349" s="62" t="str">
        <f>IF(LEN(Biometria!B359)=0,"",Biometria!B359)</f>
        <v/>
      </c>
      <c r="C349" s="62" t="str">
        <f>IF(Biometria!C359=0,"",Biometria!C359)</f>
        <v/>
      </c>
      <c r="D349" s="62" t="str">
        <f>IF(Biometria!D359=0,"",Biometria!D359)</f>
        <v/>
      </c>
      <c r="E349" s="62" t="str">
        <f>IF(Biometria!E359=0,"",Biometria!E359)</f>
        <v/>
      </c>
      <c r="F349" s="62" t="str">
        <f>IF(Biometria!F359=0,"",Biometria!F359)</f>
        <v/>
      </c>
      <c r="G349" s="62" t="str">
        <f>IF(Biometria!G359=0,"",Biometria!G359)</f>
        <v/>
      </c>
      <c r="H349" s="62" t="str">
        <f>IF(Biometria!H359=0,"",Biometria!H359)</f>
        <v/>
      </c>
      <c r="I349" s="62" t="str">
        <f>IF(Biometria!I359=0,"",Biometria!I359)</f>
        <v/>
      </c>
      <c r="J349" s="62" t="str">
        <f>IF(Biometria!J359=0,"",Biometria!J359)</f>
        <v/>
      </c>
      <c r="K349" s="62" t="str">
        <f>IF(Biometria!K359=0,"",Biometria!K359)</f>
        <v/>
      </c>
    </row>
    <row r="350" spans="1:11" x14ac:dyDescent="0.25">
      <c r="A350" s="62" t="str">
        <f>IF(LEN(B349)&gt;0,Biometria!A360,"")</f>
        <v/>
      </c>
      <c r="B350" s="62" t="str">
        <f>IF(LEN(Biometria!B360)=0,"",Biometria!B360)</f>
        <v/>
      </c>
      <c r="C350" s="62" t="str">
        <f>IF(Biometria!C360=0,"",Biometria!C360)</f>
        <v/>
      </c>
      <c r="D350" s="62" t="str">
        <f>IF(Biometria!D360=0,"",Biometria!D360)</f>
        <v/>
      </c>
      <c r="E350" s="62" t="str">
        <f>IF(Biometria!E360=0,"",Biometria!E360)</f>
        <v/>
      </c>
      <c r="F350" s="62" t="str">
        <f>IF(Biometria!F360=0,"",Biometria!F360)</f>
        <v/>
      </c>
      <c r="G350" s="62" t="str">
        <f>IF(Biometria!G360=0,"",Biometria!G360)</f>
        <v/>
      </c>
      <c r="H350" s="62" t="str">
        <f>IF(Biometria!H360=0,"",Biometria!H360)</f>
        <v/>
      </c>
      <c r="I350" s="62" t="str">
        <f>IF(Biometria!I360=0,"",Biometria!I360)</f>
        <v/>
      </c>
      <c r="J350" s="62" t="str">
        <f>IF(Biometria!J360=0,"",Biometria!J360)</f>
        <v/>
      </c>
      <c r="K350" s="62" t="str">
        <f>IF(Biometria!K360=0,"",Biometria!K360)</f>
        <v/>
      </c>
    </row>
    <row r="351" spans="1:11" x14ac:dyDescent="0.25">
      <c r="A351" s="62" t="str">
        <f>IF(LEN(B350)&gt;0,Biometria!A361,"")</f>
        <v/>
      </c>
      <c r="B351" s="62" t="str">
        <f>IF(LEN(Biometria!B361)=0,"",Biometria!B361)</f>
        <v/>
      </c>
      <c r="C351" s="62" t="str">
        <f>IF(Biometria!C361=0,"",Biometria!C361)</f>
        <v/>
      </c>
      <c r="D351" s="62" t="str">
        <f>IF(Biometria!D361=0,"",Biometria!D361)</f>
        <v/>
      </c>
      <c r="E351" s="62" t="str">
        <f>IF(Biometria!E361=0,"",Biometria!E361)</f>
        <v/>
      </c>
      <c r="F351" s="62" t="str">
        <f>IF(Biometria!F361=0,"",Biometria!F361)</f>
        <v/>
      </c>
      <c r="G351" s="62" t="str">
        <f>IF(Biometria!G361=0,"",Biometria!G361)</f>
        <v/>
      </c>
      <c r="H351" s="62" t="str">
        <f>IF(Biometria!H361=0,"",Biometria!H361)</f>
        <v/>
      </c>
      <c r="I351" s="62" t="str">
        <f>IF(Biometria!I361=0,"",Biometria!I361)</f>
        <v/>
      </c>
      <c r="J351" s="62" t="str">
        <f>IF(Biometria!J361=0,"",Biometria!J361)</f>
        <v/>
      </c>
      <c r="K351" s="62" t="str">
        <f>IF(Biometria!K361=0,"",Biometria!K361)</f>
        <v/>
      </c>
    </row>
    <row r="352" spans="1:11" x14ac:dyDescent="0.25">
      <c r="A352" s="62" t="str">
        <f>IF(LEN(B351)&gt;0,Biometria!A362,"")</f>
        <v/>
      </c>
      <c r="B352" s="62" t="str">
        <f>IF(LEN(Biometria!B362)=0,"",Biometria!B362)</f>
        <v/>
      </c>
      <c r="C352" s="62" t="str">
        <f>IF(Biometria!C362=0,"",Biometria!C362)</f>
        <v/>
      </c>
      <c r="D352" s="62" t="str">
        <f>IF(Biometria!D362=0,"",Biometria!D362)</f>
        <v/>
      </c>
      <c r="E352" s="62" t="str">
        <f>IF(Biometria!E362=0,"",Biometria!E362)</f>
        <v/>
      </c>
      <c r="F352" s="62" t="str">
        <f>IF(Biometria!F362=0,"",Biometria!F362)</f>
        <v/>
      </c>
      <c r="G352" s="62" t="str">
        <f>IF(Biometria!G362=0,"",Biometria!G362)</f>
        <v/>
      </c>
      <c r="H352" s="62" t="str">
        <f>IF(Biometria!H362=0,"",Biometria!H362)</f>
        <v/>
      </c>
      <c r="I352" s="62" t="str">
        <f>IF(Biometria!I362=0,"",Biometria!I362)</f>
        <v/>
      </c>
      <c r="J352" s="62" t="str">
        <f>IF(Biometria!J362=0,"",Biometria!J362)</f>
        <v/>
      </c>
      <c r="K352" s="62" t="str">
        <f>IF(Biometria!K362=0,"",Biometria!K362)</f>
        <v/>
      </c>
    </row>
    <row r="353" spans="1:11" x14ac:dyDescent="0.25">
      <c r="A353" s="62" t="str">
        <f>IF(LEN(B352)&gt;0,Biometria!A363,"")</f>
        <v/>
      </c>
      <c r="B353" s="62" t="str">
        <f>IF(LEN(Biometria!B363)=0,"",Biometria!B363)</f>
        <v/>
      </c>
      <c r="C353" s="62" t="str">
        <f>IF(Biometria!C363=0,"",Biometria!C363)</f>
        <v/>
      </c>
      <c r="D353" s="62" t="str">
        <f>IF(Biometria!D363=0,"",Biometria!D363)</f>
        <v/>
      </c>
      <c r="E353" s="62" t="str">
        <f>IF(Biometria!E363=0,"",Biometria!E363)</f>
        <v/>
      </c>
      <c r="F353" s="62" t="str">
        <f>IF(Biometria!F363=0,"",Biometria!F363)</f>
        <v/>
      </c>
      <c r="G353" s="62" t="str">
        <f>IF(Biometria!G363=0,"",Biometria!G363)</f>
        <v/>
      </c>
      <c r="H353" s="62" t="str">
        <f>IF(Biometria!H363=0,"",Biometria!H363)</f>
        <v/>
      </c>
      <c r="I353" s="62" t="str">
        <f>IF(Biometria!I363=0,"",Biometria!I363)</f>
        <v/>
      </c>
      <c r="J353" s="62" t="str">
        <f>IF(Biometria!J363=0,"",Biometria!J363)</f>
        <v/>
      </c>
      <c r="K353" s="62" t="str">
        <f>IF(Biometria!K363=0,"",Biometria!K363)</f>
        <v/>
      </c>
    </row>
    <row r="354" spans="1:11" x14ac:dyDescent="0.25">
      <c r="A354" s="62" t="str">
        <f>IF(LEN(B353)&gt;0,Biometria!A364,"")</f>
        <v/>
      </c>
      <c r="B354" s="62" t="str">
        <f>IF(LEN(Biometria!B364)=0,"",Biometria!B364)</f>
        <v/>
      </c>
      <c r="C354" s="62" t="str">
        <f>IF(Biometria!C364=0,"",Biometria!C364)</f>
        <v/>
      </c>
      <c r="D354" s="62" t="str">
        <f>IF(Biometria!D364=0,"",Biometria!D364)</f>
        <v/>
      </c>
      <c r="E354" s="62" t="str">
        <f>IF(Biometria!E364=0,"",Biometria!E364)</f>
        <v/>
      </c>
      <c r="F354" s="62" t="str">
        <f>IF(Biometria!F364=0,"",Biometria!F364)</f>
        <v/>
      </c>
      <c r="G354" s="62" t="str">
        <f>IF(Biometria!G364=0,"",Biometria!G364)</f>
        <v/>
      </c>
      <c r="H354" s="62" t="str">
        <f>IF(Biometria!H364=0,"",Biometria!H364)</f>
        <v/>
      </c>
      <c r="I354" s="62" t="str">
        <f>IF(Biometria!I364=0,"",Biometria!I364)</f>
        <v/>
      </c>
      <c r="J354" s="62" t="str">
        <f>IF(Biometria!J364=0,"",Biometria!J364)</f>
        <v/>
      </c>
      <c r="K354" s="62" t="str">
        <f>IF(Biometria!K364=0,"",Biometria!K364)</f>
        <v/>
      </c>
    </row>
    <row r="355" spans="1:11" x14ac:dyDescent="0.25">
      <c r="A355" s="62" t="str">
        <f>IF(LEN(B354)&gt;0,Biometria!A365,"")</f>
        <v/>
      </c>
      <c r="B355" s="62" t="str">
        <f>IF(LEN(Biometria!B365)=0,"",Biometria!B365)</f>
        <v/>
      </c>
      <c r="C355" s="62" t="str">
        <f>IF(Biometria!C365=0,"",Biometria!C365)</f>
        <v/>
      </c>
      <c r="D355" s="62" t="str">
        <f>IF(Biometria!D365=0,"",Biometria!D365)</f>
        <v/>
      </c>
      <c r="E355" s="62" t="str">
        <f>IF(Biometria!E365=0,"",Biometria!E365)</f>
        <v/>
      </c>
      <c r="F355" s="62" t="str">
        <f>IF(Biometria!F365=0,"",Biometria!F365)</f>
        <v/>
      </c>
      <c r="G355" s="62" t="str">
        <f>IF(Biometria!G365=0,"",Biometria!G365)</f>
        <v/>
      </c>
      <c r="H355" s="62" t="str">
        <f>IF(Biometria!H365=0,"",Biometria!H365)</f>
        <v/>
      </c>
      <c r="I355" s="62" t="str">
        <f>IF(Biometria!I365=0,"",Biometria!I365)</f>
        <v/>
      </c>
      <c r="J355" s="62" t="str">
        <f>IF(Biometria!J365=0,"",Biometria!J365)</f>
        <v/>
      </c>
      <c r="K355" s="62" t="str">
        <f>IF(Biometria!K365=0,"",Biometria!K365)</f>
        <v/>
      </c>
    </row>
    <row r="356" spans="1:11" x14ac:dyDescent="0.25">
      <c r="A356" s="62" t="str">
        <f>IF(LEN(B355)&gt;0,Biometria!A366,"")</f>
        <v/>
      </c>
      <c r="B356" s="62" t="str">
        <f>IF(LEN(Biometria!B366)=0,"",Biometria!B366)</f>
        <v/>
      </c>
      <c r="C356" s="62" t="str">
        <f>IF(Biometria!C366=0,"",Biometria!C366)</f>
        <v/>
      </c>
      <c r="D356" s="62" t="str">
        <f>IF(Biometria!D366=0,"",Biometria!D366)</f>
        <v/>
      </c>
      <c r="E356" s="62" t="str">
        <f>IF(Biometria!E366=0,"",Biometria!E366)</f>
        <v/>
      </c>
      <c r="F356" s="62" t="str">
        <f>IF(Biometria!F366=0,"",Biometria!F366)</f>
        <v/>
      </c>
      <c r="G356" s="62" t="str">
        <f>IF(Biometria!G366=0,"",Biometria!G366)</f>
        <v/>
      </c>
      <c r="H356" s="62" t="str">
        <f>IF(Biometria!H366=0,"",Biometria!H366)</f>
        <v/>
      </c>
      <c r="I356" s="62" t="str">
        <f>IF(Biometria!I366=0,"",Biometria!I366)</f>
        <v/>
      </c>
      <c r="J356" s="62" t="str">
        <f>IF(Biometria!J366=0,"",Biometria!J366)</f>
        <v/>
      </c>
      <c r="K356" s="62" t="str">
        <f>IF(Biometria!K366=0,"",Biometria!K366)</f>
        <v/>
      </c>
    </row>
    <row r="357" spans="1:11" x14ac:dyDescent="0.25">
      <c r="A357" s="62" t="str">
        <f>IF(LEN(B356)&gt;0,Biometria!A367,"")</f>
        <v/>
      </c>
      <c r="B357" s="62" t="str">
        <f>IF(LEN(Biometria!B367)=0,"",Biometria!B367)</f>
        <v/>
      </c>
      <c r="C357" s="62" t="str">
        <f>IF(Biometria!C367=0,"",Biometria!C367)</f>
        <v/>
      </c>
      <c r="D357" s="62" t="str">
        <f>IF(Biometria!D367=0,"",Biometria!D367)</f>
        <v/>
      </c>
      <c r="E357" s="62" t="str">
        <f>IF(Biometria!E367=0,"",Biometria!E367)</f>
        <v/>
      </c>
      <c r="F357" s="62" t="str">
        <f>IF(Biometria!F367=0,"",Biometria!F367)</f>
        <v/>
      </c>
      <c r="G357" s="62" t="str">
        <f>IF(Biometria!G367=0,"",Biometria!G367)</f>
        <v/>
      </c>
      <c r="H357" s="62" t="str">
        <f>IF(Biometria!H367=0,"",Biometria!H367)</f>
        <v/>
      </c>
      <c r="I357" s="62" t="str">
        <f>IF(Biometria!I367=0,"",Biometria!I367)</f>
        <v/>
      </c>
      <c r="J357" s="62" t="str">
        <f>IF(Biometria!J367=0,"",Biometria!J367)</f>
        <v/>
      </c>
      <c r="K357" s="62" t="str">
        <f>IF(Biometria!K367=0,"",Biometria!K367)</f>
        <v/>
      </c>
    </row>
    <row r="358" spans="1:11" x14ac:dyDescent="0.25">
      <c r="A358" s="62" t="str">
        <f>IF(LEN(B357)&gt;0,Biometria!A368,"")</f>
        <v/>
      </c>
      <c r="B358" s="62" t="str">
        <f>IF(LEN(Biometria!B368)=0,"",Biometria!B368)</f>
        <v/>
      </c>
      <c r="C358" s="62" t="str">
        <f>IF(Biometria!C368=0,"",Biometria!C368)</f>
        <v/>
      </c>
      <c r="D358" s="62" t="str">
        <f>IF(Biometria!D368=0,"",Biometria!D368)</f>
        <v/>
      </c>
      <c r="E358" s="62" t="str">
        <f>IF(Biometria!E368=0,"",Biometria!E368)</f>
        <v/>
      </c>
      <c r="F358" s="62" t="str">
        <f>IF(Biometria!F368=0,"",Biometria!F368)</f>
        <v/>
      </c>
      <c r="G358" s="62" t="str">
        <f>IF(Biometria!G368=0,"",Biometria!G368)</f>
        <v/>
      </c>
      <c r="H358" s="62" t="str">
        <f>IF(Biometria!H368=0,"",Biometria!H368)</f>
        <v/>
      </c>
      <c r="I358" s="62" t="str">
        <f>IF(Biometria!I368=0,"",Biometria!I368)</f>
        <v/>
      </c>
      <c r="J358" s="62" t="str">
        <f>IF(Biometria!J368=0,"",Biometria!J368)</f>
        <v/>
      </c>
      <c r="K358" s="62" t="str">
        <f>IF(Biometria!K368=0,"",Biometria!K368)</f>
        <v/>
      </c>
    </row>
    <row r="359" spans="1:11" x14ac:dyDescent="0.25">
      <c r="A359" s="62" t="str">
        <f>IF(LEN(B358)&gt;0,Biometria!A369,"")</f>
        <v/>
      </c>
      <c r="B359" s="62" t="str">
        <f>IF(LEN(Biometria!B369)=0,"",Biometria!B369)</f>
        <v/>
      </c>
      <c r="C359" s="62" t="str">
        <f>IF(Biometria!C369=0,"",Biometria!C369)</f>
        <v/>
      </c>
      <c r="D359" s="62" t="str">
        <f>IF(Biometria!D369=0,"",Biometria!D369)</f>
        <v/>
      </c>
      <c r="E359" s="62" t="str">
        <f>IF(Biometria!E369=0,"",Biometria!E369)</f>
        <v/>
      </c>
      <c r="F359" s="62" t="str">
        <f>IF(Biometria!F369=0,"",Biometria!F369)</f>
        <v/>
      </c>
      <c r="G359" s="62" t="str">
        <f>IF(Biometria!G369=0,"",Biometria!G369)</f>
        <v/>
      </c>
      <c r="H359" s="62" t="str">
        <f>IF(Biometria!H369=0,"",Biometria!H369)</f>
        <v/>
      </c>
      <c r="I359" s="62" t="str">
        <f>IF(Biometria!I369=0,"",Biometria!I369)</f>
        <v/>
      </c>
      <c r="J359" s="62" t="str">
        <f>IF(Biometria!J369=0,"",Biometria!J369)</f>
        <v/>
      </c>
      <c r="K359" s="62" t="str">
        <f>IF(Biometria!K369=0,"",Biometria!K369)</f>
        <v/>
      </c>
    </row>
    <row r="360" spans="1:11" x14ac:dyDescent="0.25">
      <c r="A360" s="62" t="str">
        <f>IF(LEN(B359)&gt;0,Biometria!A370,"")</f>
        <v/>
      </c>
      <c r="B360" s="62" t="str">
        <f>IF(LEN(Biometria!B370)=0,"",Biometria!B370)</f>
        <v/>
      </c>
      <c r="C360" s="62" t="str">
        <f>IF(Biometria!C370=0,"",Biometria!C370)</f>
        <v/>
      </c>
      <c r="D360" s="62" t="str">
        <f>IF(Biometria!D370=0,"",Biometria!D370)</f>
        <v/>
      </c>
      <c r="E360" s="62" t="str">
        <f>IF(Biometria!E370=0,"",Biometria!E370)</f>
        <v/>
      </c>
      <c r="F360" s="62" t="str">
        <f>IF(Biometria!F370=0,"",Biometria!F370)</f>
        <v/>
      </c>
      <c r="G360" s="62" t="str">
        <f>IF(Biometria!G370=0,"",Biometria!G370)</f>
        <v/>
      </c>
      <c r="H360" s="62" t="str">
        <f>IF(Biometria!H370=0,"",Biometria!H370)</f>
        <v/>
      </c>
      <c r="I360" s="62" t="str">
        <f>IF(Biometria!I370=0,"",Biometria!I370)</f>
        <v/>
      </c>
      <c r="J360" s="62" t="str">
        <f>IF(Biometria!J370=0,"",Biometria!J370)</f>
        <v/>
      </c>
      <c r="K360" s="62" t="str">
        <f>IF(Biometria!K370=0,"",Biometria!K370)</f>
        <v/>
      </c>
    </row>
    <row r="361" spans="1:11" x14ac:dyDescent="0.25">
      <c r="A361" s="62" t="str">
        <f>IF(LEN(B360)&gt;0,Biometria!A371,"")</f>
        <v/>
      </c>
      <c r="B361" s="62" t="str">
        <f>IF(LEN(Biometria!B371)=0,"",Biometria!B371)</f>
        <v/>
      </c>
      <c r="C361" s="62" t="str">
        <f>IF(Biometria!C371=0,"",Biometria!C371)</f>
        <v/>
      </c>
      <c r="D361" s="62" t="str">
        <f>IF(Biometria!D371=0,"",Biometria!D371)</f>
        <v/>
      </c>
      <c r="E361" s="62" t="str">
        <f>IF(Biometria!E371=0,"",Biometria!E371)</f>
        <v/>
      </c>
      <c r="F361" s="62" t="str">
        <f>IF(Biometria!F371=0,"",Biometria!F371)</f>
        <v/>
      </c>
      <c r="G361" s="62" t="str">
        <f>IF(Biometria!G371=0,"",Biometria!G371)</f>
        <v/>
      </c>
      <c r="H361" s="62" t="str">
        <f>IF(Biometria!H371=0,"",Biometria!H371)</f>
        <v/>
      </c>
      <c r="I361" s="62" t="str">
        <f>IF(Biometria!I371=0,"",Biometria!I371)</f>
        <v/>
      </c>
      <c r="J361" s="62" t="str">
        <f>IF(Biometria!J371=0,"",Biometria!J371)</f>
        <v/>
      </c>
      <c r="K361" s="62" t="str">
        <f>IF(Biometria!K371=0,"",Biometria!K371)</f>
        <v/>
      </c>
    </row>
    <row r="362" spans="1:11" x14ac:dyDescent="0.25">
      <c r="A362" s="62" t="str">
        <f>IF(LEN(B361)&gt;0,Biometria!A372,"")</f>
        <v/>
      </c>
      <c r="B362" s="62" t="str">
        <f>IF(LEN(Biometria!B372)=0,"",Biometria!B372)</f>
        <v/>
      </c>
      <c r="C362" s="62" t="str">
        <f>IF(Biometria!C372=0,"",Biometria!C372)</f>
        <v/>
      </c>
      <c r="D362" s="62" t="str">
        <f>IF(Biometria!D372=0,"",Biometria!D372)</f>
        <v/>
      </c>
      <c r="E362" s="62" t="str">
        <f>IF(Biometria!E372=0,"",Biometria!E372)</f>
        <v/>
      </c>
      <c r="F362" s="62" t="str">
        <f>IF(Biometria!F372=0,"",Biometria!F372)</f>
        <v/>
      </c>
      <c r="G362" s="62" t="str">
        <f>IF(Biometria!G372=0,"",Biometria!G372)</f>
        <v/>
      </c>
      <c r="H362" s="62" t="str">
        <f>IF(Biometria!H372=0,"",Biometria!H372)</f>
        <v/>
      </c>
      <c r="I362" s="62" t="str">
        <f>IF(Biometria!I372=0,"",Biometria!I372)</f>
        <v/>
      </c>
      <c r="J362" s="62" t="str">
        <f>IF(Biometria!J372=0,"",Biometria!J372)</f>
        <v/>
      </c>
      <c r="K362" s="62" t="str">
        <f>IF(Biometria!K372=0,"",Biometria!K372)</f>
        <v/>
      </c>
    </row>
    <row r="363" spans="1:11" x14ac:dyDescent="0.25">
      <c r="A363" s="62" t="str">
        <f>IF(LEN(B362)&gt;0,Biometria!A373,"")</f>
        <v/>
      </c>
      <c r="B363" s="62" t="str">
        <f>IF(LEN(Biometria!B373)=0,"",Biometria!B373)</f>
        <v/>
      </c>
      <c r="C363" s="62" t="str">
        <f>IF(Biometria!C373=0,"",Biometria!C373)</f>
        <v/>
      </c>
      <c r="D363" s="62" t="str">
        <f>IF(Biometria!D373=0,"",Biometria!D373)</f>
        <v/>
      </c>
      <c r="E363" s="62" t="str">
        <f>IF(Biometria!E373=0,"",Biometria!E373)</f>
        <v/>
      </c>
      <c r="F363" s="62" t="str">
        <f>IF(Biometria!F373=0,"",Biometria!F373)</f>
        <v/>
      </c>
      <c r="G363" s="62" t="str">
        <f>IF(Biometria!G373=0,"",Biometria!G373)</f>
        <v/>
      </c>
      <c r="H363" s="62" t="str">
        <f>IF(Biometria!H373=0,"",Biometria!H373)</f>
        <v/>
      </c>
      <c r="I363" s="62" t="str">
        <f>IF(Biometria!I373=0,"",Biometria!I373)</f>
        <v/>
      </c>
      <c r="J363" s="62" t="str">
        <f>IF(Biometria!J373=0,"",Biometria!J373)</f>
        <v/>
      </c>
      <c r="K363" s="62" t="str">
        <f>IF(Biometria!K373=0,"",Biometria!K373)</f>
        <v/>
      </c>
    </row>
    <row r="364" spans="1:11" x14ac:dyDescent="0.25">
      <c r="A364" s="62" t="str">
        <f>IF(LEN(B363)&gt;0,Biometria!A374,"")</f>
        <v/>
      </c>
      <c r="B364" s="62" t="str">
        <f>IF(LEN(Biometria!B374)=0,"",Biometria!B374)</f>
        <v/>
      </c>
      <c r="C364" s="62" t="str">
        <f>IF(Biometria!C374=0,"",Biometria!C374)</f>
        <v/>
      </c>
      <c r="D364" s="62" t="str">
        <f>IF(Biometria!D374=0,"",Biometria!D374)</f>
        <v/>
      </c>
      <c r="E364" s="62" t="str">
        <f>IF(Biometria!E374=0,"",Biometria!E374)</f>
        <v/>
      </c>
      <c r="F364" s="62" t="str">
        <f>IF(Biometria!F374=0,"",Biometria!F374)</f>
        <v/>
      </c>
      <c r="G364" s="62" t="str">
        <f>IF(Biometria!G374=0,"",Biometria!G374)</f>
        <v/>
      </c>
      <c r="H364" s="62" t="str">
        <f>IF(Biometria!H374=0,"",Biometria!H374)</f>
        <v/>
      </c>
      <c r="I364" s="62" t="str">
        <f>IF(Biometria!I374=0,"",Biometria!I374)</f>
        <v/>
      </c>
      <c r="J364" s="62" t="str">
        <f>IF(Biometria!J374=0,"",Biometria!J374)</f>
        <v/>
      </c>
      <c r="K364" s="62" t="str">
        <f>IF(Biometria!K374=0,"",Biometria!K374)</f>
        <v/>
      </c>
    </row>
    <row r="365" spans="1:11" x14ac:dyDescent="0.25">
      <c r="A365" s="62" t="str">
        <f>IF(LEN(B364)&gt;0,Biometria!A375,"")</f>
        <v/>
      </c>
      <c r="B365" s="62" t="str">
        <f>IF(LEN(Biometria!B375)=0,"",Biometria!B375)</f>
        <v/>
      </c>
      <c r="C365" s="62" t="str">
        <f>IF(Biometria!C375=0,"",Biometria!C375)</f>
        <v/>
      </c>
      <c r="D365" s="62" t="str">
        <f>IF(Biometria!D375=0,"",Biometria!D375)</f>
        <v/>
      </c>
      <c r="E365" s="62" t="str">
        <f>IF(Biometria!E375=0,"",Biometria!E375)</f>
        <v/>
      </c>
      <c r="F365" s="62" t="str">
        <f>IF(Biometria!F375=0,"",Biometria!F375)</f>
        <v/>
      </c>
      <c r="G365" s="62" t="str">
        <f>IF(Biometria!G375=0,"",Biometria!G375)</f>
        <v/>
      </c>
      <c r="H365" s="62" t="str">
        <f>IF(Biometria!H375=0,"",Biometria!H375)</f>
        <v/>
      </c>
      <c r="I365" s="62" t="str">
        <f>IF(Biometria!I375=0,"",Biometria!I375)</f>
        <v/>
      </c>
      <c r="J365" s="62" t="str">
        <f>IF(Biometria!J375=0,"",Biometria!J375)</f>
        <v/>
      </c>
      <c r="K365" s="62" t="str">
        <f>IF(Biometria!K375=0,"",Biometria!K375)</f>
        <v/>
      </c>
    </row>
    <row r="366" spans="1:11" x14ac:dyDescent="0.25">
      <c r="A366" s="62" t="str">
        <f>IF(LEN(B365)&gt;0,Biometria!A376,"")</f>
        <v/>
      </c>
      <c r="B366" s="62" t="str">
        <f>IF(LEN(Biometria!B376)=0,"",Biometria!B376)</f>
        <v/>
      </c>
      <c r="C366" s="62" t="str">
        <f>IF(Biometria!C376=0,"",Biometria!C376)</f>
        <v/>
      </c>
      <c r="D366" s="62" t="str">
        <f>IF(Biometria!D376=0,"",Biometria!D376)</f>
        <v/>
      </c>
      <c r="E366" s="62" t="str">
        <f>IF(Biometria!E376=0,"",Biometria!E376)</f>
        <v/>
      </c>
      <c r="F366" s="62" t="str">
        <f>IF(Biometria!F376=0,"",Biometria!F376)</f>
        <v/>
      </c>
      <c r="G366" s="62" t="str">
        <f>IF(Biometria!G376=0,"",Biometria!G376)</f>
        <v/>
      </c>
      <c r="H366" s="62" t="str">
        <f>IF(Biometria!H376=0,"",Biometria!H376)</f>
        <v/>
      </c>
      <c r="I366" s="62" t="str">
        <f>IF(Biometria!I376=0,"",Biometria!I376)</f>
        <v/>
      </c>
      <c r="J366" s="62" t="str">
        <f>IF(Biometria!J376=0,"",Biometria!J376)</f>
        <v/>
      </c>
      <c r="K366" s="62" t="str">
        <f>IF(Biometria!K376=0,"",Biometria!K376)</f>
        <v/>
      </c>
    </row>
    <row r="367" spans="1:11" x14ac:dyDescent="0.25">
      <c r="A367" s="62" t="str">
        <f>IF(LEN(B366)&gt;0,Biometria!A377,"")</f>
        <v/>
      </c>
      <c r="B367" s="62" t="str">
        <f>IF(LEN(Biometria!B377)=0,"",Biometria!B377)</f>
        <v/>
      </c>
      <c r="C367" s="62" t="str">
        <f>IF(Biometria!C377=0,"",Biometria!C377)</f>
        <v/>
      </c>
      <c r="D367" s="62" t="str">
        <f>IF(Biometria!D377=0,"",Biometria!D377)</f>
        <v/>
      </c>
      <c r="E367" s="62" t="str">
        <f>IF(Biometria!E377=0,"",Biometria!E377)</f>
        <v/>
      </c>
      <c r="F367" s="62" t="str">
        <f>IF(Biometria!F377=0,"",Biometria!F377)</f>
        <v/>
      </c>
      <c r="G367" s="62" t="str">
        <f>IF(Biometria!G377=0,"",Biometria!G377)</f>
        <v/>
      </c>
      <c r="H367" s="62" t="str">
        <f>IF(Biometria!H377=0,"",Biometria!H377)</f>
        <v/>
      </c>
      <c r="I367" s="62" t="str">
        <f>IF(Biometria!I377=0,"",Biometria!I377)</f>
        <v/>
      </c>
      <c r="J367" s="62" t="str">
        <f>IF(Biometria!J377=0,"",Biometria!J377)</f>
        <v/>
      </c>
      <c r="K367" s="62" t="str">
        <f>IF(Biometria!K377=0,"",Biometria!K377)</f>
        <v/>
      </c>
    </row>
    <row r="368" spans="1:11" x14ac:dyDescent="0.25">
      <c r="A368" s="62" t="str">
        <f>IF(LEN(B367)&gt;0,Biometria!A378,"")</f>
        <v/>
      </c>
      <c r="B368" s="62" t="str">
        <f>IF(LEN(Biometria!B378)=0,"",Biometria!B378)</f>
        <v/>
      </c>
      <c r="C368" s="62" t="str">
        <f>IF(Biometria!C378=0,"",Biometria!C378)</f>
        <v/>
      </c>
      <c r="D368" s="62" t="str">
        <f>IF(Biometria!D378=0,"",Biometria!D378)</f>
        <v/>
      </c>
      <c r="E368" s="62" t="str">
        <f>IF(Biometria!E378=0,"",Biometria!E378)</f>
        <v/>
      </c>
      <c r="F368" s="62" t="str">
        <f>IF(Biometria!F378=0,"",Biometria!F378)</f>
        <v/>
      </c>
      <c r="G368" s="62" t="str">
        <f>IF(Biometria!G378=0,"",Biometria!G378)</f>
        <v/>
      </c>
      <c r="H368" s="62" t="str">
        <f>IF(Biometria!H378=0,"",Biometria!H378)</f>
        <v/>
      </c>
      <c r="I368" s="62" t="str">
        <f>IF(Biometria!I378=0,"",Biometria!I378)</f>
        <v/>
      </c>
      <c r="J368" s="62" t="str">
        <f>IF(Biometria!J378=0,"",Biometria!J378)</f>
        <v/>
      </c>
      <c r="K368" s="62" t="str">
        <f>IF(Biometria!K378=0,"",Biometria!K378)</f>
        <v/>
      </c>
    </row>
    <row r="369" spans="1:11" x14ac:dyDescent="0.25">
      <c r="A369" s="62" t="str">
        <f>IF(LEN(B368)&gt;0,Biometria!A379,"")</f>
        <v/>
      </c>
      <c r="B369" s="62" t="str">
        <f>IF(LEN(Biometria!B379)=0,"",Biometria!B379)</f>
        <v/>
      </c>
      <c r="C369" s="62" t="str">
        <f>IF(Biometria!C379=0,"",Biometria!C379)</f>
        <v/>
      </c>
      <c r="D369" s="62" t="str">
        <f>IF(Biometria!D379=0,"",Biometria!D379)</f>
        <v/>
      </c>
      <c r="E369" s="62" t="str">
        <f>IF(Biometria!E379=0,"",Biometria!E379)</f>
        <v/>
      </c>
      <c r="F369" s="62" t="str">
        <f>IF(Biometria!F379=0,"",Biometria!F379)</f>
        <v/>
      </c>
      <c r="G369" s="62" t="str">
        <f>IF(Biometria!G379=0,"",Biometria!G379)</f>
        <v/>
      </c>
      <c r="H369" s="62" t="str">
        <f>IF(Biometria!H379=0,"",Biometria!H379)</f>
        <v/>
      </c>
      <c r="I369" s="62" t="str">
        <f>IF(Biometria!I379=0,"",Biometria!I379)</f>
        <v/>
      </c>
      <c r="J369" s="62" t="str">
        <f>IF(Biometria!J379=0,"",Biometria!J379)</f>
        <v/>
      </c>
      <c r="K369" s="62" t="str">
        <f>IF(Biometria!K379=0,"",Biometria!K379)</f>
        <v/>
      </c>
    </row>
    <row r="370" spans="1:11" x14ac:dyDescent="0.25">
      <c r="A370" s="62" t="str">
        <f>IF(LEN(B369)&gt;0,Biometria!A380,"")</f>
        <v/>
      </c>
      <c r="B370" s="62" t="str">
        <f>IF(LEN(Biometria!B380)=0,"",Biometria!B380)</f>
        <v/>
      </c>
      <c r="C370" s="62" t="str">
        <f>IF(Biometria!C380=0,"",Biometria!C380)</f>
        <v/>
      </c>
      <c r="D370" s="62" t="str">
        <f>IF(Biometria!D380=0,"",Biometria!D380)</f>
        <v/>
      </c>
      <c r="E370" s="62" t="str">
        <f>IF(Biometria!E380=0,"",Biometria!E380)</f>
        <v/>
      </c>
      <c r="F370" s="62" t="str">
        <f>IF(Biometria!F380=0,"",Biometria!F380)</f>
        <v/>
      </c>
      <c r="G370" s="62" t="str">
        <f>IF(Biometria!G380=0,"",Biometria!G380)</f>
        <v/>
      </c>
      <c r="H370" s="62" t="str">
        <f>IF(Biometria!H380=0,"",Biometria!H380)</f>
        <v/>
      </c>
      <c r="I370" s="62" t="str">
        <f>IF(Biometria!I380=0,"",Biometria!I380)</f>
        <v/>
      </c>
      <c r="J370" s="62" t="str">
        <f>IF(Biometria!J380=0,"",Biometria!J380)</f>
        <v/>
      </c>
      <c r="K370" s="62" t="str">
        <f>IF(Biometria!K380=0,"",Biometria!K380)</f>
        <v/>
      </c>
    </row>
    <row r="371" spans="1:11" x14ac:dyDescent="0.25">
      <c r="A371" s="62" t="str">
        <f>IF(LEN(B370)&gt;0,Biometria!A381,"")</f>
        <v/>
      </c>
      <c r="B371" s="62" t="str">
        <f>IF(LEN(Biometria!B381)=0,"",Biometria!B381)</f>
        <v/>
      </c>
      <c r="C371" s="62" t="str">
        <f>IF(Biometria!C381=0,"",Biometria!C381)</f>
        <v/>
      </c>
      <c r="D371" s="62" t="str">
        <f>IF(Biometria!D381=0,"",Biometria!D381)</f>
        <v/>
      </c>
      <c r="E371" s="62" t="str">
        <f>IF(Biometria!E381=0,"",Biometria!E381)</f>
        <v/>
      </c>
      <c r="F371" s="62" t="str">
        <f>IF(Biometria!F381=0,"",Biometria!F381)</f>
        <v/>
      </c>
      <c r="G371" s="62" t="str">
        <f>IF(Biometria!G381=0,"",Biometria!G381)</f>
        <v/>
      </c>
      <c r="H371" s="62" t="str">
        <f>IF(Biometria!H381=0,"",Biometria!H381)</f>
        <v/>
      </c>
      <c r="I371" s="62" t="str">
        <f>IF(Biometria!I381=0,"",Biometria!I381)</f>
        <v/>
      </c>
      <c r="J371" s="62" t="str">
        <f>IF(Biometria!J381=0,"",Biometria!J381)</f>
        <v/>
      </c>
      <c r="K371" s="62" t="str">
        <f>IF(Biometria!K381=0,"",Biometria!K381)</f>
        <v/>
      </c>
    </row>
    <row r="372" spans="1:11" x14ac:dyDescent="0.25">
      <c r="A372" s="62" t="str">
        <f>IF(LEN(B371)&gt;0,Biometria!A382,"")</f>
        <v/>
      </c>
      <c r="B372" s="62" t="str">
        <f>IF(LEN(Biometria!B382)=0,"",Biometria!B382)</f>
        <v/>
      </c>
      <c r="C372" s="62" t="str">
        <f>IF(Biometria!C382=0,"",Biometria!C382)</f>
        <v/>
      </c>
      <c r="D372" s="62" t="str">
        <f>IF(Biometria!D382=0,"",Biometria!D382)</f>
        <v/>
      </c>
      <c r="E372" s="62" t="str">
        <f>IF(Biometria!E382=0,"",Biometria!E382)</f>
        <v/>
      </c>
      <c r="F372" s="62" t="str">
        <f>IF(Biometria!F382=0,"",Biometria!F382)</f>
        <v/>
      </c>
      <c r="G372" s="62" t="str">
        <f>IF(Biometria!G382=0,"",Biometria!G382)</f>
        <v/>
      </c>
      <c r="H372" s="62" t="str">
        <f>IF(Biometria!H382=0,"",Biometria!H382)</f>
        <v/>
      </c>
      <c r="I372" s="62" t="str">
        <f>IF(Biometria!I382=0,"",Biometria!I382)</f>
        <v/>
      </c>
      <c r="J372" s="62" t="str">
        <f>IF(Biometria!J382=0,"",Biometria!J382)</f>
        <v/>
      </c>
      <c r="K372" s="62" t="str">
        <f>IF(Biometria!K382=0,"",Biometria!K382)</f>
        <v/>
      </c>
    </row>
    <row r="373" spans="1:11" x14ac:dyDescent="0.25">
      <c r="A373" s="62" t="str">
        <f>IF(LEN(B372)&gt;0,Biometria!A383,"")</f>
        <v/>
      </c>
      <c r="B373" s="62" t="str">
        <f>IF(LEN(Biometria!B383)=0,"",Biometria!B383)</f>
        <v/>
      </c>
      <c r="C373" s="62" t="str">
        <f>IF(Biometria!C383=0,"",Biometria!C383)</f>
        <v/>
      </c>
      <c r="D373" s="62" t="str">
        <f>IF(Biometria!D383=0,"",Biometria!D383)</f>
        <v/>
      </c>
      <c r="E373" s="62" t="str">
        <f>IF(Biometria!E383=0,"",Biometria!E383)</f>
        <v/>
      </c>
      <c r="F373" s="62" t="str">
        <f>IF(Biometria!F383=0,"",Biometria!F383)</f>
        <v/>
      </c>
      <c r="G373" s="62" t="str">
        <f>IF(Biometria!G383=0,"",Biometria!G383)</f>
        <v/>
      </c>
      <c r="H373" s="62" t="str">
        <f>IF(Biometria!H383=0,"",Biometria!H383)</f>
        <v/>
      </c>
      <c r="I373" s="62" t="str">
        <f>IF(Biometria!I383=0,"",Biometria!I383)</f>
        <v/>
      </c>
      <c r="J373" s="62" t="str">
        <f>IF(Biometria!J383=0,"",Biometria!J383)</f>
        <v/>
      </c>
      <c r="K373" s="62" t="str">
        <f>IF(Biometria!K383=0,"",Biometria!K383)</f>
        <v/>
      </c>
    </row>
    <row r="374" spans="1:11" x14ac:dyDescent="0.25">
      <c r="A374" s="62" t="str">
        <f>IF(LEN(B373)&gt;0,Biometria!A384,"")</f>
        <v/>
      </c>
      <c r="B374" s="62" t="str">
        <f>IF(LEN(Biometria!B384)=0,"",Biometria!B384)</f>
        <v/>
      </c>
      <c r="C374" s="62" t="str">
        <f>IF(Biometria!C384=0,"",Biometria!C384)</f>
        <v/>
      </c>
      <c r="D374" s="62" t="str">
        <f>IF(Biometria!D384=0,"",Biometria!D384)</f>
        <v/>
      </c>
      <c r="E374" s="62" t="str">
        <f>IF(Biometria!E384=0,"",Biometria!E384)</f>
        <v/>
      </c>
      <c r="F374" s="62" t="str">
        <f>IF(Biometria!F384=0,"",Biometria!F384)</f>
        <v/>
      </c>
      <c r="G374" s="62" t="str">
        <f>IF(Biometria!G384=0,"",Biometria!G384)</f>
        <v/>
      </c>
      <c r="H374" s="62" t="str">
        <f>IF(Biometria!H384=0,"",Biometria!H384)</f>
        <v/>
      </c>
      <c r="I374" s="62" t="str">
        <f>IF(Biometria!I384=0,"",Biometria!I384)</f>
        <v/>
      </c>
      <c r="J374" s="62" t="str">
        <f>IF(Biometria!J384=0,"",Biometria!J384)</f>
        <v/>
      </c>
      <c r="K374" s="62" t="str">
        <f>IF(Biometria!K384=0,"",Biometria!K384)</f>
        <v/>
      </c>
    </row>
    <row r="375" spans="1:11" x14ac:dyDescent="0.25">
      <c r="A375" s="62" t="str">
        <f>IF(LEN(B374)&gt;0,Biometria!A385,"")</f>
        <v/>
      </c>
      <c r="B375" s="62" t="str">
        <f>IF(LEN(Biometria!B385)=0,"",Biometria!B385)</f>
        <v/>
      </c>
      <c r="C375" s="62" t="str">
        <f>IF(Biometria!C385=0,"",Biometria!C385)</f>
        <v/>
      </c>
      <c r="D375" s="62" t="str">
        <f>IF(Biometria!D385=0,"",Biometria!D385)</f>
        <v/>
      </c>
      <c r="E375" s="62" t="str">
        <f>IF(Biometria!E385=0,"",Biometria!E385)</f>
        <v/>
      </c>
      <c r="F375" s="62" t="str">
        <f>IF(Biometria!F385=0,"",Biometria!F385)</f>
        <v/>
      </c>
      <c r="G375" s="62" t="str">
        <f>IF(Biometria!G385=0,"",Biometria!G385)</f>
        <v/>
      </c>
      <c r="H375" s="62" t="str">
        <f>IF(Biometria!H385=0,"",Biometria!H385)</f>
        <v/>
      </c>
      <c r="I375" s="62" t="str">
        <f>IF(Biometria!I385=0,"",Biometria!I385)</f>
        <v/>
      </c>
      <c r="J375" s="62" t="str">
        <f>IF(Biometria!J385=0,"",Biometria!J385)</f>
        <v/>
      </c>
      <c r="K375" s="62" t="str">
        <f>IF(Biometria!K385=0,"",Biometria!K385)</f>
        <v/>
      </c>
    </row>
    <row r="376" spans="1:11" x14ac:dyDescent="0.25">
      <c r="A376" s="62" t="str">
        <f>IF(LEN(B375)&gt;0,Biometria!A386,"")</f>
        <v/>
      </c>
      <c r="B376" s="62" t="str">
        <f>IF(LEN(Biometria!B386)=0,"",Biometria!B386)</f>
        <v/>
      </c>
      <c r="C376" s="62" t="str">
        <f>IF(Biometria!C386=0,"",Biometria!C386)</f>
        <v/>
      </c>
      <c r="D376" s="62" t="str">
        <f>IF(Biometria!D386=0,"",Biometria!D386)</f>
        <v/>
      </c>
      <c r="E376" s="62" t="str">
        <f>IF(Biometria!E386=0,"",Biometria!E386)</f>
        <v/>
      </c>
      <c r="F376" s="62" t="str">
        <f>IF(Biometria!F386=0,"",Biometria!F386)</f>
        <v/>
      </c>
      <c r="G376" s="62" t="str">
        <f>IF(Biometria!G386=0,"",Biometria!G386)</f>
        <v/>
      </c>
      <c r="H376" s="62" t="str">
        <f>IF(Biometria!H386=0,"",Biometria!H386)</f>
        <v/>
      </c>
      <c r="I376" s="62" t="str">
        <f>IF(Biometria!I386=0,"",Biometria!I386)</f>
        <v/>
      </c>
      <c r="J376" s="62" t="str">
        <f>IF(Biometria!J386=0,"",Biometria!J386)</f>
        <v/>
      </c>
      <c r="K376" s="62" t="str">
        <f>IF(Biometria!K386=0,"",Biometria!K386)</f>
        <v/>
      </c>
    </row>
    <row r="377" spans="1:11" x14ac:dyDescent="0.25">
      <c r="A377" s="62" t="str">
        <f>IF(LEN(B376)&gt;0,Biometria!A387,"")</f>
        <v/>
      </c>
      <c r="B377" s="62" t="str">
        <f>IF(LEN(Biometria!B387)=0,"",Biometria!B387)</f>
        <v/>
      </c>
      <c r="C377" s="62" t="str">
        <f>IF(Biometria!C387=0,"",Biometria!C387)</f>
        <v/>
      </c>
      <c r="D377" s="62" t="str">
        <f>IF(Biometria!D387=0,"",Biometria!D387)</f>
        <v/>
      </c>
      <c r="E377" s="62" t="str">
        <f>IF(Biometria!E387=0,"",Biometria!E387)</f>
        <v/>
      </c>
      <c r="F377" s="62" t="str">
        <f>IF(Biometria!F387=0,"",Biometria!F387)</f>
        <v/>
      </c>
      <c r="G377" s="62" t="str">
        <f>IF(Biometria!G387=0,"",Biometria!G387)</f>
        <v/>
      </c>
      <c r="H377" s="62" t="str">
        <f>IF(Biometria!H387=0,"",Biometria!H387)</f>
        <v/>
      </c>
      <c r="I377" s="62" t="str">
        <f>IF(Biometria!I387=0,"",Biometria!I387)</f>
        <v/>
      </c>
      <c r="J377" s="62" t="str">
        <f>IF(Biometria!J387=0,"",Biometria!J387)</f>
        <v/>
      </c>
      <c r="K377" s="62" t="str">
        <f>IF(Biometria!K387=0,"",Biometria!K387)</f>
        <v/>
      </c>
    </row>
    <row r="378" spans="1:11" x14ac:dyDescent="0.25">
      <c r="A378" s="62" t="str">
        <f>IF(LEN(B377)&gt;0,Biometria!A388,"")</f>
        <v/>
      </c>
      <c r="B378" s="62" t="str">
        <f>IF(LEN(Biometria!B388)=0,"",Biometria!B388)</f>
        <v/>
      </c>
      <c r="C378" s="62" t="str">
        <f>IF(Biometria!C388=0,"",Biometria!C388)</f>
        <v/>
      </c>
      <c r="D378" s="62" t="str">
        <f>IF(Biometria!D388=0,"",Biometria!D388)</f>
        <v/>
      </c>
      <c r="E378" s="62" t="str">
        <f>IF(Biometria!E388=0,"",Biometria!E388)</f>
        <v/>
      </c>
      <c r="F378" s="62" t="str">
        <f>IF(Biometria!F388=0,"",Biometria!F388)</f>
        <v/>
      </c>
      <c r="G378" s="62" t="str">
        <f>IF(Biometria!G388=0,"",Biometria!G388)</f>
        <v/>
      </c>
      <c r="H378" s="62" t="str">
        <f>IF(Biometria!H388=0,"",Biometria!H388)</f>
        <v/>
      </c>
      <c r="I378" s="62" t="str">
        <f>IF(Biometria!I388=0,"",Biometria!I388)</f>
        <v/>
      </c>
      <c r="J378" s="62" t="str">
        <f>IF(Biometria!J388=0,"",Biometria!J388)</f>
        <v/>
      </c>
      <c r="K378" s="62" t="str">
        <f>IF(Biometria!K388=0,"",Biometria!K388)</f>
        <v/>
      </c>
    </row>
    <row r="379" spans="1:11" x14ac:dyDescent="0.25">
      <c r="A379" s="62" t="str">
        <f>IF(LEN(B378)&gt;0,Biometria!A389,"")</f>
        <v/>
      </c>
      <c r="B379" s="62" t="str">
        <f>IF(LEN(Biometria!B389)=0,"",Biometria!B389)</f>
        <v/>
      </c>
      <c r="C379" s="62" t="str">
        <f>IF(Biometria!C389=0,"",Biometria!C389)</f>
        <v/>
      </c>
      <c r="D379" s="62" t="str">
        <f>IF(Biometria!D389=0,"",Biometria!D389)</f>
        <v/>
      </c>
      <c r="E379" s="62" t="str">
        <f>IF(Biometria!E389=0,"",Biometria!E389)</f>
        <v/>
      </c>
      <c r="F379" s="62" t="str">
        <f>IF(Biometria!F389=0,"",Biometria!F389)</f>
        <v/>
      </c>
      <c r="G379" s="62" t="str">
        <f>IF(Biometria!G389=0,"",Biometria!G389)</f>
        <v/>
      </c>
      <c r="H379" s="62" t="str">
        <f>IF(Biometria!H389=0,"",Biometria!H389)</f>
        <v/>
      </c>
      <c r="I379" s="62" t="str">
        <f>IF(Biometria!I389=0,"",Biometria!I389)</f>
        <v/>
      </c>
      <c r="J379" s="62" t="str">
        <f>IF(Biometria!J389=0,"",Biometria!J389)</f>
        <v/>
      </c>
      <c r="K379" s="62" t="str">
        <f>IF(Biometria!K389=0,"",Biometria!K389)</f>
        <v/>
      </c>
    </row>
    <row r="380" spans="1:11" x14ac:dyDescent="0.25">
      <c r="A380" s="62" t="str">
        <f>IF(LEN(B379)&gt;0,Biometria!A390,"")</f>
        <v/>
      </c>
      <c r="B380" s="62" t="str">
        <f>IF(LEN(Biometria!B390)=0,"",Biometria!B390)</f>
        <v/>
      </c>
      <c r="C380" s="62" t="str">
        <f>IF(Biometria!C390=0,"",Biometria!C390)</f>
        <v/>
      </c>
      <c r="D380" s="62" t="str">
        <f>IF(Biometria!D390=0,"",Biometria!D390)</f>
        <v/>
      </c>
      <c r="E380" s="62" t="str">
        <f>IF(Biometria!E390=0,"",Biometria!E390)</f>
        <v/>
      </c>
      <c r="F380" s="62" t="str">
        <f>IF(Biometria!F390=0,"",Biometria!F390)</f>
        <v/>
      </c>
      <c r="G380" s="62" t="str">
        <f>IF(Biometria!G390=0,"",Biometria!G390)</f>
        <v/>
      </c>
      <c r="H380" s="62" t="str">
        <f>IF(Biometria!H390=0,"",Biometria!H390)</f>
        <v/>
      </c>
      <c r="I380" s="62" t="str">
        <f>IF(Biometria!I390=0,"",Biometria!I390)</f>
        <v/>
      </c>
      <c r="J380" s="62" t="str">
        <f>IF(Biometria!J390=0,"",Biometria!J390)</f>
        <v/>
      </c>
      <c r="K380" s="62" t="str">
        <f>IF(Biometria!K390=0,"",Biometria!K390)</f>
        <v/>
      </c>
    </row>
    <row r="381" spans="1:11" x14ac:dyDescent="0.25">
      <c r="A381" s="62" t="str">
        <f>IF(LEN(B380)&gt;0,Biometria!A391,"")</f>
        <v/>
      </c>
      <c r="B381" s="62" t="str">
        <f>IF(LEN(Biometria!B391)=0,"",Biometria!B391)</f>
        <v/>
      </c>
      <c r="C381" s="62" t="str">
        <f>IF(Biometria!C391=0,"",Biometria!C391)</f>
        <v/>
      </c>
      <c r="D381" s="62" t="str">
        <f>IF(Biometria!D391=0,"",Biometria!D391)</f>
        <v/>
      </c>
      <c r="E381" s="62" t="str">
        <f>IF(Biometria!E391=0,"",Biometria!E391)</f>
        <v/>
      </c>
      <c r="F381" s="62" t="str">
        <f>IF(Biometria!F391=0,"",Biometria!F391)</f>
        <v/>
      </c>
      <c r="G381" s="62" t="str">
        <f>IF(Biometria!G391=0,"",Biometria!G391)</f>
        <v/>
      </c>
      <c r="H381" s="62" t="str">
        <f>IF(Biometria!H391=0,"",Biometria!H391)</f>
        <v/>
      </c>
      <c r="I381" s="62" t="str">
        <f>IF(Biometria!I391=0,"",Biometria!I391)</f>
        <v/>
      </c>
      <c r="J381" s="62" t="str">
        <f>IF(Biometria!J391=0,"",Biometria!J391)</f>
        <v/>
      </c>
      <c r="K381" s="62" t="str">
        <f>IF(Biometria!K391=0,"",Biometria!K391)</f>
        <v/>
      </c>
    </row>
    <row r="382" spans="1:11" x14ac:dyDescent="0.25">
      <c r="A382" s="62" t="str">
        <f>IF(LEN(B381)&gt;0,Biometria!A392,"")</f>
        <v/>
      </c>
      <c r="B382" s="62" t="str">
        <f>IF(LEN(Biometria!B392)=0,"",Biometria!B392)</f>
        <v/>
      </c>
      <c r="C382" s="62" t="str">
        <f>IF(Biometria!C392=0,"",Biometria!C392)</f>
        <v/>
      </c>
      <c r="D382" s="62" t="str">
        <f>IF(Biometria!D392=0,"",Biometria!D392)</f>
        <v/>
      </c>
      <c r="E382" s="62" t="str">
        <f>IF(Biometria!E392=0,"",Biometria!E392)</f>
        <v/>
      </c>
      <c r="F382" s="62" t="str">
        <f>IF(Biometria!F392=0,"",Biometria!F392)</f>
        <v/>
      </c>
      <c r="G382" s="62" t="str">
        <f>IF(Biometria!G392=0,"",Biometria!G392)</f>
        <v/>
      </c>
      <c r="H382" s="62" t="str">
        <f>IF(Biometria!H392=0,"",Biometria!H392)</f>
        <v/>
      </c>
      <c r="I382" s="62" t="str">
        <f>IF(Biometria!I392=0,"",Biometria!I392)</f>
        <v/>
      </c>
      <c r="J382" s="62" t="str">
        <f>IF(Biometria!J392=0,"",Biometria!J392)</f>
        <v/>
      </c>
      <c r="K382" s="62" t="str">
        <f>IF(Biometria!K392=0,"",Biometria!K392)</f>
        <v/>
      </c>
    </row>
    <row r="383" spans="1:11" x14ac:dyDescent="0.25">
      <c r="A383" s="62" t="str">
        <f>IF(LEN(B382)&gt;0,Biometria!A393,"")</f>
        <v/>
      </c>
      <c r="B383" s="62" t="str">
        <f>IF(LEN(Biometria!B393)=0,"",Biometria!B393)</f>
        <v/>
      </c>
      <c r="C383" s="62" t="str">
        <f>IF(Biometria!C393=0,"",Biometria!C393)</f>
        <v/>
      </c>
      <c r="D383" s="62" t="str">
        <f>IF(Biometria!D393=0,"",Biometria!D393)</f>
        <v/>
      </c>
      <c r="E383" s="62" t="str">
        <f>IF(Biometria!E393=0,"",Biometria!E393)</f>
        <v/>
      </c>
      <c r="F383" s="62" t="str">
        <f>IF(Biometria!F393=0,"",Biometria!F393)</f>
        <v/>
      </c>
      <c r="G383" s="62" t="str">
        <f>IF(Biometria!G393=0,"",Biometria!G393)</f>
        <v/>
      </c>
      <c r="H383" s="62" t="str">
        <f>IF(Biometria!H393=0,"",Biometria!H393)</f>
        <v/>
      </c>
      <c r="I383" s="62" t="str">
        <f>IF(Biometria!I393=0,"",Biometria!I393)</f>
        <v/>
      </c>
      <c r="J383" s="62" t="str">
        <f>IF(Biometria!J393=0,"",Biometria!J393)</f>
        <v/>
      </c>
      <c r="K383" s="62" t="str">
        <f>IF(Biometria!K393=0,"",Biometria!K393)</f>
        <v/>
      </c>
    </row>
    <row r="384" spans="1:11" x14ac:dyDescent="0.25">
      <c r="A384" s="62" t="str">
        <f>IF(LEN(B383)&gt;0,Biometria!A394,"")</f>
        <v/>
      </c>
      <c r="B384" s="62" t="str">
        <f>IF(LEN(Biometria!B394)=0,"",Biometria!B394)</f>
        <v/>
      </c>
      <c r="C384" s="62" t="str">
        <f>IF(Biometria!C394=0,"",Biometria!C394)</f>
        <v/>
      </c>
      <c r="D384" s="62" t="str">
        <f>IF(Biometria!D394=0,"",Biometria!D394)</f>
        <v/>
      </c>
      <c r="E384" s="62" t="str">
        <f>IF(Biometria!E394=0,"",Biometria!E394)</f>
        <v/>
      </c>
      <c r="F384" s="62" t="str">
        <f>IF(Biometria!F394=0,"",Biometria!F394)</f>
        <v/>
      </c>
      <c r="G384" s="62" t="str">
        <f>IF(Biometria!G394=0,"",Biometria!G394)</f>
        <v/>
      </c>
      <c r="H384" s="62" t="str">
        <f>IF(Biometria!H394=0,"",Biometria!H394)</f>
        <v/>
      </c>
      <c r="I384" s="62" t="str">
        <f>IF(Biometria!I394=0,"",Biometria!I394)</f>
        <v/>
      </c>
      <c r="J384" s="62" t="str">
        <f>IF(Biometria!J394=0,"",Biometria!J394)</f>
        <v/>
      </c>
      <c r="K384" s="62" t="str">
        <f>IF(Biometria!K394=0,"",Biometria!K394)</f>
        <v/>
      </c>
    </row>
    <row r="385" spans="1:11" x14ac:dyDescent="0.25">
      <c r="A385" s="62" t="str">
        <f>IF(LEN(B384)&gt;0,Biometria!A395,"")</f>
        <v/>
      </c>
      <c r="B385" s="62" t="str">
        <f>IF(LEN(Biometria!B395)=0,"",Biometria!B395)</f>
        <v/>
      </c>
      <c r="C385" s="62" t="str">
        <f>IF(Biometria!C395=0,"",Biometria!C395)</f>
        <v/>
      </c>
      <c r="D385" s="62" t="str">
        <f>IF(Biometria!D395=0,"",Biometria!D395)</f>
        <v/>
      </c>
      <c r="E385" s="62" t="str">
        <f>IF(Biometria!E395=0,"",Biometria!E395)</f>
        <v/>
      </c>
      <c r="F385" s="62" t="str">
        <f>IF(Biometria!F395=0,"",Biometria!F395)</f>
        <v/>
      </c>
      <c r="G385" s="62" t="str">
        <f>IF(Biometria!G395=0,"",Biometria!G395)</f>
        <v/>
      </c>
      <c r="H385" s="62" t="str">
        <f>IF(Biometria!H395=0,"",Biometria!H395)</f>
        <v/>
      </c>
      <c r="I385" s="62" t="str">
        <f>IF(Biometria!I395=0,"",Biometria!I395)</f>
        <v/>
      </c>
      <c r="J385" s="62" t="str">
        <f>IF(Biometria!J395=0,"",Biometria!J395)</f>
        <v/>
      </c>
      <c r="K385" s="62" t="str">
        <f>IF(Biometria!K395=0,"",Biometria!K395)</f>
        <v/>
      </c>
    </row>
    <row r="386" spans="1:11" x14ac:dyDescent="0.25">
      <c r="A386" s="62" t="str">
        <f>IF(LEN(B385)&gt;0,Biometria!A396,"")</f>
        <v/>
      </c>
      <c r="B386" s="62" t="str">
        <f>IF(LEN(Biometria!B396)=0,"",Biometria!B396)</f>
        <v/>
      </c>
      <c r="C386" s="62" t="str">
        <f>IF(Biometria!C396=0,"",Biometria!C396)</f>
        <v/>
      </c>
      <c r="D386" s="62" t="str">
        <f>IF(Biometria!D396=0,"",Biometria!D396)</f>
        <v/>
      </c>
      <c r="E386" s="62" t="str">
        <f>IF(Biometria!E396=0,"",Biometria!E396)</f>
        <v/>
      </c>
      <c r="F386" s="62" t="str">
        <f>IF(Biometria!F396=0,"",Biometria!F396)</f>
        <v/>
      </c>
      <c r="G386" s="62" t="str">
        <f>IF(Biometria!G396=0,"",Biometria!G396)</f>
        <v/>
      </c>
      <c r="H386" s="62" t="str">
        <f>IF(Biometria!H396=0,"",Biometria!H396)</f>
        <v/>
      </c>
      <c r="I386" s="62" t="str">
        <f>IF(Biometria!I396=0,"",Biometria!I396)</f>
        <v/>
      </c>
      <c r="J386" s="62" t="str">
        <f>IF(Biometria!J396=0,"",Biometria!J396)</f>
        <v/>
      </c>
      <c r="K386" s="62" t="str">
        <f>IF(Biometria!K396=0,"",Biometria!K396)</f>
        <v/>
      </c>
    </row>
    <row r="387" spans="1:11" x14ac:dyDescent="0.25">
      <c r="A387" s="62" t="str">
        <f>IF(LEN(B386)&gt;0,Biometria!A397,"")</f>
        <v/>
      </c>
      <c r="B387" s="62" t="str">
        <f>IF(LEN(Biometria!B397)=0,"",Biometria!B397)</f>
        <v/>
      </c>
      <c r="C387" s="62" t="str">
        <f>IF(Biometria!C397=0,"",Biometria!C397)</f>
        <v/>
      </c>
      <c r="D387" s="62" t="str">
        <f>IF(Biometria!D397=0,"",Biometria!D397)</f>
        <v/>
      </c>
      <c r="E387" s="62" t="str">
        <f>IF(Biometria!E397=0,"",Biometria!E397)</f>
        <v/>
      </c>
      <c r="F387" s="62" t="str">
        <f>IF(Biometria!F397=0,"",Biometria!F397)</f>
        <v/>
      </c>
      <c r="G387" s="62" t="str">
        <f>IF(Biometria!G397=0,"",Biometria!G397)</f>
        <v/>
      </c>
      <c r="H387" s="62" t="str">
        <f>IF(Biometria!H397=0,"",Biometria!H397)</f>
        <v/>
      </c>
      <c r="I387" s="62" t="str">
        <f>IF(Biometria!I397=0,"",Biometria!I397)</f>
        <v/>
      </c>
      <c r="J387" s="62" t="str">
        <f>IF(Biometria!J397=0,"",Biometria!J397)</f>
        <v/>
      </c>
      <c r="K387" s="62" t="str">
        <f>IF(Biometria!K397=0,"",Biometria!K397)</f>
        <v/>
      </c>
    </row>
    <row r="388" spans="1:11" x14ac:dyDescent="0.25">
      <c r="A388" s="62" t="str">
        <f>IF(LEN(B387)&gt;0,Biometria!A398,"")</f>
        <v/>
      </c>
      <c r="B388" s="62" t="str">
        <f>IF(LEN(Biometria!B398)=0,"",Biometria!B398)</f>
        <v/>
      </c>
      <c r="C388" s="62" t="str">
        <f>IF(Biometria!C398=0,"",Biometria!C398)</f>
        <v/>
      </c>
      <c r="D388" s="62" t="str">
        <f>IF(Biometria!D398=0,"",Biometria!D398)</f>
        <v/>
      </c>
      <c r="E388" s="62" t="str">
        <f>IF(Biometria!E398=0,"",Biometria!E398)</f>
        <v/>
      </c>
      <c r="F388" s="62" t="str">
        <f>IF(Biometria!F398=0,"",Biometria!F398)</f>
        <v/>
      </c>
      <c r="G388" s="62" t="str">
        <f>IF(Biometria!G398=0,"",Biometria!G398)</f>
        <v/>
      </c>
      <c r="H388" s="62" t="str">
        <f>IF(Biometria!H398=0,"",Biometria!H398)</f>
        <v/>
      </c>
      <c r="I388" s="62" t="str">
        <f>IF(Biometria!I398=0,"",Biometria!I398)</f>
        <v/>
      </c>
      <c r="J388" s="62" t="str">
        <f>IF(Biometria!J398=0,"",Biometria!J398)</f>
        <v/>
      </c>
      <c r="K388" s="62" t="str">
        <f>IF(Biometria!K398=0,"",Biometria!K398)</f>
        <v/>
      </c>
    </row>
    <row r="389" spans="1:11" x14ac:dyDescent="0.25">
      <c r="A389" s="62" t="str">
        <f>IF(LEN(B388)&gt;0,Biometria!A399,"")</f>
        <v/>
      </c>
      <c r="B389" s="62" t="str">
        <f>IF(LEN(Biometria!B399)=0,"",Biometria!B399)</f>
        <v/>
      </c>
      <c r="C389" s="62" t="str">
        <f>IF(Biometria!C399=0,"",Biometria!C399)</f>
        <v/>
      </c>
      <c r="D389" s="62" t="str">
        <f>IF(Biometria!D399=0,"",Biometria!D399)</f>
        <v/>
      </c>
      <c r="E389" s="62" t="str">
        <f>IF(Biometria!E399=0,"",Biometria!E399)</f>
        <v/>
      </c>
      <c r="F389" s="62" t="str">
        <f>IF(Biometria!F399=0,"",Biometria!F399)</f>
        <v/>
      </c>
      <c r="G389" s="62" t="str">
        <f>IF(Biometria!G399=0,"",Biometria!G399)</f>
        <v/>
      </c>
      <c r="H389" s="62" t="str">
        <f>IF(Biometria!H399=0,"",Biometria!H399)</f>
        <v/>
      </c>
      <c r="I389" s="62" t="str">
        <f>IF(Biometria!I399=0,"",Biometria!I399)</f>
        <v/>
      </c>
      <c r="J389" s="62" t="str">
        <f>IF(Biometria!J399=0,"",Biometria!J399)</f>
        <v/>
      </c>
      <c r="K389" s="62" t="str">
        <f>IF(Biometria!K399=0,"",Biometria!K399)</f>
        <v/>
      </c>
    </row>
    <row r="390" spans="1:11" x14ac:dyDescent="0.25">
      <c r="A390" s="62" t="str">
        <f>IF(LEN(B389)&gt;0,Biometria!A400,"")</f>
        <v/>
      </c>
      <c r="B390" s="62" t="str">
        <f>IF(LEN(Biometria!B400)=0,"",Biometria!B400)</f>
        <v/>
      </c>
      <c r="C390" s="62" t="str">
        <f>IF(Biometria!C400=0,"",Biometria!C400)</f>
        <v/>
      </c>
      <c r="D390" s="62" t="str">
        <f>IF(Biometria!D400=0,"",Biometria!D400)</f>
        <v/>
      </c>
      <c r="E390" s="62" t="str">
        <f>IF(Biometria!E400=0,"",Biometria!E400)</f>
        <v/>
      </c>
      <c r="F390" s="62" t="str">
        <f>IF(Biometria!F400=0,"",Biometria!F400)</f>
        <v/>
      </c>
      <c r="G390" s="62" t="str">
        <f>IF(Biometria!G400=0,"",Biometria!G400)</f>
        <v/>
      </c>
      <c r="H390" s="62" t="str">
        <f>IF(Biometria!H400=0,"",Biometria!H400)</f>
        <v/>
      </c>
      <c r="I390" s="62" t="str">
        <f>IF(Biometria!I400=0,"",Biometria!I400)</f>
        <v/>
      </c>
      <c r="J390" s="62" t="str">
        <f>IF(Biometria!J400=0,"",Biometria!J400)</f>
        <v/>
      </c>
      <c r="K390" s="62" t="str">
        <f>IF(Biometria!K400=0,"",Biometria!K400)</f>
        <v/>
      </c>
    </row>
    <row r="391" spans="1:11" x14ac:dyDescent="0.25">
      <c r="A391" s="62" t="str">
        <f>IF(LEN(B390)&gt;0,Biometria!A401,"")</f>
        <v/>
      </c>
      <c r="B391" s="62" t="str">
        <f>IF(LEN(Biometria!B401)=0,"",Biometria!B401)</f>
        <v/>
      </c>
      <c r="C391" s="62" t="str">
        <f>IF(Biometria!C401=0,"",Biometria!C401)</f>
        <v/>
      </c>
      <c r="D391" s="62" t="str">
        <f>IF(Biometria!D401=0,"",Biometria!D401)</f>
        <v/>
      </c>
      <c r="E391" s="62" t="str">
        <f>IF(Biometria!E401=0,"",Biometria!E401)</f>
        <v/>
      </c>
      <c r="F391" s="62" t="str">
        <f>IF(Biometria!F401=0,"",Biometria!F401)</f>
        <v/>
      </c>
      <c r="G391" s="62" t="str">
        <f>IF(Biometria!G401=0,"",Biometria!G401)</f>
        <v/>
      </c>
      <c r="H391" s="62" t="str">
        <f>IF(Biometria!H401=0,"",Biometria!H401)</f>
        <v/>
      </c>
      <c r="I391" s="62" t="str">
        <f>IF(Biometria!I401=0,"",Biometria!I401)</f>
        <v/>
      </c>
      <c r="J391" s="62" t="str">
        <f>IF(Biometria!J401=0,"",Biometria!J401)</f>
        <v/>
      </c>
      <c r="K391" s="62" t="str">
        <f>IF(Biometria!K401=0,"",Biometria!K401)</f>
        <v/>
      </c>
    </row>
    <row r="392" spans="1:11" x14ac:dyDescent="0.25">
      <c r="A392" s="62" t="str">
        <f>IF(LEN(B391)&gt;0,Biometria!A402,"")</f>
        <v/>
      </c>
      <c r="B392" s="62" t="str">
        <f>IF(LEN(Biometria!B402)=0,"",Biometria!B402)</f>
        <v/>
      </c>
      <c r="C392" s="62" t="str">
        <f>IF(Biometria!C402=0,"",Biometria!C402)</f>
        <v/>
      </c>
      <c r="D392" s="62" t="str">
        <f>IF(Biometria!D402=0,"",Biometria!D402)</f>
        <v/>
      </c>
      <c r="E392" s="62" t="str">
        <f>IF(Biometria!E402=0,"",Biometria!E402)</f>
        <v/>
      </c>
      <c r="F392" s="62" t="str">
        <f>IF(Biometria!F402=0,"",Biometria!F402)</f>
        <v/>
      </c>
      <c r="G392" s="62" t="str">
        <f>IF(Biometria!G402=0,"",Biometria!G402)</f>
        <v/>
      </c>
      <c r="H392" s="62" t="str">
        <f>IF(Biometria!H402=0,"",Biometria!H402)</f>
        <v/>
      </c>
      <c r="I392" s="62" t="str">
        <f>IF(Biometria!I402=0,"",Biometria!I402)</f>
        <v/>
      </c>
      <c r="J392" s="62" t="str">
        <f>IF(Biometria!J402=0,"",Biometria!J402)</f>
        <v/>
      </c>
      <c r="K392" s="62" t="str">
        <f>IF(Biometria!K402=0,"",Biometria!K402)</f>
        <v/>
      </c>
    </row>
    <row r="393" spans="1:11" x14ac:dyDescent="0.25">
      <c r="A393" s="62" t="str">
        <f>IF(LEN(B392)&gt;0,Biometria!A403,"")</f>
        <v/>
      </c>
      <c r="B393" s="62" t="str">
        <f>IF(LEN(Biometria!B403)=0,"",Biometria!B403)</f>
        <v/>
      </c>
      <c r="C393" s="62" t="str">
        <f>IF(Biometria!C403=0,"",Biometria!C403)</f>
        <v/>
      </c>
      <c r="D393" s="62" t="str">
        <f>IF(Biometria!D403=0,"",Biometria!D403)</f>
        <v/>
      </c>
      <c r="E393" s="62" t="str">
        <f>IF(Biometria!E403=0,"",Biometria!E403)</f>
        <v/>
      </c>
      <c r="F393" s="62" t="str">
        <f>IF(Biometria!F403=0,"",Biometria!F403)</f>
        <v/>
      </c>
      <c r="G393" s="62" t="str">
        <f>IF(Biometria!G403=0,"",Biometria!G403)</f>
        <v/>
      </c>
      <c r="H393" s="62" t="str">
        <f>IF(Biometria!H403=0,"",Biometria!H403)</f>
        <v/>
      </c>
      <c r="I393" s="62" t="str">
        <f>IF(Biometria!I403=0,"",Biometria!I403)</f>
        <v/>
      </c>
      <c r="J393" s="62" t="str">
        <f>IF(Biometria!J403=0,"",Biometria!J403)</f>
        <v/>
      </c>
      <c r="K393" s="62" t="str">
        <f>IF(Biometria!K403=0,"",Biometria!K403)</f>
        <v/>
      </c>
    </row>
    <row r="394" spans="1:11" x14ac:dyDescent="0.25">
      <c r="A394" s="62" t="str">
        <f>IF(LEN(B393)&gt;0,Biometria!A404,"")</f>
        <v/>
      </c>
      <c r="B394" s="62" t="str">
        <f>IF(LEN(Biometria!B404)=0,"",Biometria!B404)</f>
        <v/>
      </c>
      <c r="C394" s="62" t="str">
        <f>IF(Biometria!C404=0,"",Biometria!C404)</f>
        <v/>
      </c>
      <c r="D394" s="62" t="str">
        <f>IF(Biometria!D404=0,"",Biometria!D404)</f>
        <v/>
      </c>
      <c r="E394" s="62" t="str">
        <f>IF(Biometria!E404=0,"",Biometria!E404)</f>
        <v/>
      </c>
      <c r="F394" s="62" t="str">
        <f>IF(Biometria!F404=0,"",Biometria!F404)</f>
        <v/>
      </c>
      <c r="G394" s="62" t="str">
        <f>IF(Biometria!G404=0,"",Biometria!G404)</f>
        <v/>
      </c>
      <c r="H394" s="62" t="str">
        <f>IF(Biometria!H404=0,"",Biometria!H404)</f>
        <v/>
      </c>
      <c r="I394" s="62" t="str">
        <f>IF(Biometria!I404=0,"",Biometria!I404)</f>
        <v/>
      </c>
      <c r="J394" s="62" t="str">
        <f>IF(Biometria!J404=0,"",Biometria!J404)</f>
        <v/>
      </c>
      <c r="K394" s="62" t="str">
        <f>IF(Biometria!K404=0,"",Biometria!K404)</f>
        <v/>
      </c>
    </row>
    <row r="395" spans="1:11" x14ac:dyDescent="0.25">
      <c r="A395" s="62" t="str">
        <f>IF(LEN(B394)&gt;0,Biometria!A405,"")</f>
        <v/>
      </c>
      <c r="B395" s="62" t="str">
        <f>IF(LEN(Biometria!B405)=0,"",Biometria!B405)</f>
        <v/>
      </c>
      <c r="C395" s="62" t="str">
        <f>IF(Biometria!C405=0,"",Biometria!C405)</f>
        <v/>
      </c>
      <c r="D395" s="62" t="str">
        <f>IF(Biometria!D405=0,"",Biometria!D405)</f>
        <v/>
      </c>
      <c r="E395" s="62" t="str">
        <f>IF(Biometria!E405=0,"",Biometria!E405)</f>
        <v/>
      </c>
      <c r="F395" s="62" t="str">
        <f>IF(Biometria!F405=0,"",Biometria!F405)</f>
        <v/>
      </c>
      <c r="G395" s="62" t="str">
        <f>IF(Biometria!G405=0,"",Biometria!G405)</f>
        <v/>
      </c>
      <c r="H395" s="62" t="str">
        <f>IF(Biometria!H405=0,"",Biometria!H405)</f>
        <v/>
      </c>
      <c r="I395" s="62" t="str">
        <f>IF(Biometria!I405=0,"",Biometria!I405)</f>
        <v/>
      </c>
      <c r="J395" s="62" t="str">
        <f>IF(Biometria!J405=0,"",Biometria!J405)</f>
        <v/>
      </c>
      <c r="K395" s="62" t="str">
        <f>IF(Biometria!K405=0,"",Biometria!K405)</f>
        <v/>
      </c>
    </row>
    <row r="396" spans="1:11" x14ac:dyDescent="0.25">
      <c r="A396" s="62" t="str">
        <f>IF(LEN(B395)&gt;0,Biometria!A406,"")</f>
        <v/>
      </c>
      <c r="B396" s="62" t="str">
        <f>IF(LEN(Biometria!B406)=0,"",Biometria!B406)</f>
        <v/>
      </c>
      <c r="C396" s="62" t="str">
        <f>IF(Biometria!C406=0,"",Biometria!C406)</f>
        <v/>
      </c>
      <c r="D396" s="62" t="str">
        <f>IF(Biometria!D406=0,"",Biometria!D406)</f>
        <v/>
      </c>
      <c r="E396" s="62" t="str">
        <f>IF(Biometria!E406=0,"",Biometria!E406)</f>
        <v/>
      </c>
      <c r="F396" s="62" t="str">
        <f>IF(Biometria!F406=0,"",Biometria!F406)</f>
        <v/>
      </c>
      <c r="G396" s="62" t="str">
        <f>IF(Biometria!G406=0,"",Biometria!G406)</f>
        <v/>
      </c>
      <c r="H396" s="62" t="str">
        <f>IF(Biometria!H406=0,"",Biometria!H406)</f>
        <v/>
      </c>
      <c r="I396" s="62" t="str">
        <f>IF(Biometria!I406=0,"",Biometria!I406)</f>
        <v/>
      </c>
      <c r="J396" s="62" t="str">
        <f>IF(Biometria!J406=0,"",Biometria!J406)</f>
        <v/>
      </c>
      <c r="K396" s="62" t="str">
        <f>IF(Biometria!K406=0,"",Biometria!K406)</f>
        <v/>
      </c>
    </row>
    <row r="397" spans="1:11" x14ac:dyDescent="0.25">
      <c r="A397" s="62" t="str">
        <f>IF(LEN(B396)&gt;0,Biometria!A407,"")</f>
        <v/>
      </c>
      <c r="B397" s="62" t="str">
        <f>IF(LEN(Biometria!B407)=0,"",Biometria!B407)</f>
        <v/>
      </c>
      <c r="C397" s="62" t="str">
        <f>IF(Biometria!C407=0,"",Biometria!C407)</f>
        <v/>
      </c>
      <c r="D397" s="62" t="str">
        <f>IF(Biometria!D407=0,"",Biometria!D407)</f>
        <v/>
      </c>
      <c r="E397" s="62" t="str">
        <f>IF(Biometria!E407=0,"",Biometria!E407)</f>
        <v/>
      </c>
      <c r="F397" s="62" t="str">
        <f>IF(Biometria!F407=0,"",Biometria!F407)</f>
        <v/>
      </c>
      <c r="G397" s="62" t="str">
        <f>IF(Biometria!G407=0,"",Biometria!G407)</f>
        <v/>
      </c>
      <c r="H397" s="62" t="str">
        <f>IF(Biometria!H407=0,"",Biometria!H407)</f>
        <v/>
      </c>
      <c r="I397" s="62" t="str">
        <f>IF(Biometria!I407=0,"",Biometria!I407)</f>
        <v/>
      </c>
      <c r="J397" s="62" t="str">
        <f>IF(Biometria!J407=0,"",Biometria!J407)</f>
        <v/>
      </c>
      <c r="K397" s="62" t="str">
        <f>IF(Biometria!K407=0,"",Biometria!K407)</f>
        <v/>
      </c>
    </row>
    <row r="398" spans="1:11" x14ac:dyDescent="0.25">
      <c r="A398" s="62" t="str">
        <f>IF(LEN(B397)&gt;0,Biometria!A408,"")</f>
        <v/>
      </c>
      <c r="B398" s="62" t="str">
        <f>IF(LEN(Biometria!B408)=0,"",Biometria!B408)</f>
        <v/>
      </c>
      <c r="C398" s="62" t="str">
        <f>IF(Biometria!C408=0,"",Biometria!C408)</f>
        <v/>
      </c>
      <c r="D398" s="62" t="str">
        <f>IF(Biometria!D408=0,"",Biometria!D408)</f>
        <v/>
      </c>
      <c r="E398" s="62" t="str">
        <f>IF(Biometria!E408=0,"",Biometria!E408)</f>
        <v/>
      </c>
      <c r="F398" s="62" t="str">
        <f>IF(Biometria!F408=0,"",Biometria!F408)</f>
        <v/>
      </c>
      <c r="G398" s="62" t="str">
        <f>IF(Biometria!G408=0,"",Biometria!G408)</f>
        <v/>
      </c>
      <c r="H398" s="62" t="str">
        <f>IF(Biometria!H408=0,"",Biometria!H408)</f>
        <v/>
      </c>
      <c r="I398" s="62" t="str">
        <f>IF(Biometria!I408=0,"",Biometria!I408)</f>
        <v/>
      </c>
      <c r="J398" s="62" t="str">
        <f>IF(Biometria!J408=0,"",Biometria!J408)</f>
        <v/>
      </c>
      <c r="K398" s="62" t="str">
        <f>IF(Biometria!K408=0,"",Biometria!K408)</f>
        <v/>
      </c>
    </row>
    <row r="399" spans="1:11" x14ac:dyDescent="0.25">
      <c r="A399" s="62" t="str">
        <f>IF(LEN(B398)&gt;0,Biometria!A409,"")</f>
        <v/>
      </c>
      <c r="B399" s="62" t="str">
        <f>IF(LEN(Biometria!B409)=0,"",Biometria!B409)</f>
        <v/>
      </c>
      <c r="C399" s="62" t="str">
        <f>IF(Biometria!C409=0,"",Biometria!C409)</f>
        <v/>
      </c>
      <c r="D399" s="62" t="str">
        <f>IF(Biometria!D409=0,"",Biometria!D409)</f>
        <v/>
      </c>
      <c r="E399" s="62" t="str">
        <f>IF(Biometria!E409=0,"",Biometria!E409)</f>
        <v/>
      </c>
      <c r="F399" s="62" t="str">
        <f>IF(Biometria!F409=0,"",Biometria!F409)</f>
        <v/>
      </c>
      <c r="G399" s="62" t="str">
        <f>IF(Biometria!G409=0,"",Biometria!G409)</f>
        <v/>
      </c>
      <c r="H399" s="62" t="str">
        <f>IF(Biometria!H409=0,"",Biometria!H409)</f>
        <v/>
      </c>
      <c r="I399" s="62" t="str">
        <f>IF(Biometria!I409=0,"",Biometria!I409)</f>
        <v/>
      </c>
      <c r="J399" s="62" t="str">
        <f>IF(Biometria!J409=0,"",Biometria!J409)</f>
        <v/>
      </c>
      <c r="K399" s="62" t="str">
        <f>IF(Biometria!K409=0,"",Biometria!K409)</f>
        <v/>
      </c>
    </row>
    <row r="400" spans="1:11" x14ac:dyDescent="0.25">
      <c r="A400" s="62" t="str">
        <f>IF(LEN(B399)&gt;0,Biometria!A410,"")</f>
        <v/>
      </c>
      <c r="B400" s="62" t="str">
        <f>IF(LEN(Biometria!B410)=0,"",Biometria!B410)</f>
        <v/>
      </c>
      <c r="C400" s="62" t="str">
        <f>IF(Biometria!C410=0,"",Biometria!C410)</f>
        <v/>
      </c>
      <c r="D400" s="62" t="str">
        <f>IF(Biometria!D410=0,"",Biometria!D410)</f>
        <v/>
      </c>
      <c r="E400" s="62" t="str">
        <f>IF(Biometria!E410=0,"",Biometria!E410)</f>
        <v/>
      </c>
      <c r="F400" s="62" t="str">
        <f>IF(Biometria!F410=0,"",Biometria!F410)</f>
        <v/>
      </c>
      <c r="G400" s="62" t="str">
        <f>IF(Biometria!G410=0,"",Biometria!G410)</f>
        <v/>
      </c>
      <c r="H400" s="62" t="str">
        <f>IF(Biometria!H410=0,"",Biometria!H410)</f>
        <v/>
      </c>
      <c r="I400" s="62" t="str">
        <f>IF(Biometria!I410=0,"",Biometria!I410)</f>
        <v/>
      </c>
      <c r="J400" s="62" t="str">
        <f>IF(Biometria!J410=0,"",Biometria!J410)</f>
        <v/>
      </c>
      <c r="K400" s="62" t="str">
        <f>IF(Biometria!K410=0,"",Biometria!K410)</f>
        <v/>
      </c>
    </row>
    <row r="401" spans="1:11" x14ac:dyDescent="0.25">
      <c r="A401" s="62" t="str">
        <f>IF(LEN(B400)&gt;0,Biometria!A411,"")</f>
        <v/>
      </c>
      <c r="B401" s="62" t="str">
        <f>IF(LEN(Biometria!B411)=0,"",Biometria!B411)</f>
        <v/>
      </c>
      <c r="C401" s="62" t="str">
        <f>IF(Biometria!C411=0,"",Biometria!C411)</f>
        <v/>
      </c>
      <c r="D401" s="62" t="str">
        <f>IF(Biometria!D411=0,"",Biometria!D411)</f>
        <v/>
      </c>
      <c r="E401" s="62" t="str">
        <f>IF(Biometria!E411=0,"",Biometria!E411)</f>
        <v/>
      </c>
      <c r="F401" s="62" t="str">
        <f>IF(Biometria!F411=0,"",Biometria!F411)</f>
        <v/>
      </c>
      <c r="G401" s="62" t="str">
        <f>IF(Biometria!G411=0,"",Biometria!G411)</f>
        <v/>
      </c>
      <c r="H401" s="62" t="str">
        <f>IF(Biometria!H411=0,"",Biometria!H411)</f>
        <v/>
      </c>
      <c r="I401" s="62" t="str">
        <f>IF(Biometria!I411=0,"",Biometria!I411)</f>
        <v/>
      </c>
      <c r="J401" s="62" t="str">
        <f>IF(Biometria!J411=0,"",Biometria!J411)</f>
        <v/>
      </c>
      <c r="K401" s="62" t="str">
        <f>IF(Biometria!K411=0,"",Biometria!K411)</f>
        <v/>
      </c>
    </row>
    <row r="402" spans="1:11" x14ac:dyDescent="0.25">
      <c r="A402" s="62" t="str">
        <f>IF(LEN(B401)&gt;0,Biometria!A412,"")</f>
        <v/>
      </c>
      <c r="B402" s="62" t="str">
        <f>IF(LEN(Biometria!B412)=0,"",Biometria!B412)</f>
        <v/>
      </c>
      <c r="C402" s="62" t="str">
        <f>IF(Biometria!C412=0,"",Biometria!C412)</f>
        <v/>
      </c>
      <c r="D402" s="62" t="str">
        <f>IF(Biometria!D412=0,"",Biometria!D412)</f>
        <v/>
      </c>
      <c r="E402" s="62" t="str">
        <f>IF(Biometria!E412=0,"",Biometria!E412)</f>
        <v/>
      </c>
      <c r="F402" s="62" t="str">
        <f>IF(Biometria!F412=0,"",Biometria!F412)</f>
        <v/>
      </c>
      <c r="G402" s="62" t="str">
        <f>IF(Biometria!G412=0,"",Biometria!G412)</f>
        <v/>
      </c>
      <c r="H402" s="62" t="str">
        <f>IF(Biometria!H412=0,"",Biometria!H412)</f>
        <v/>
      </c>
      <c r="I402" s="62" t="str">
        <f>IF(Biometria!I412=0,"",Biometria!I412)</f>
        <v/>
      </c>
      <c r="J402" s="62" t="str">
        <f>IF(Biometria!J412=0,"",Biometria!J412)</f>
        <v/>
      </c>
      <c r="K402" s="62" t="str">
        <f>IF(Biometria!K412=0,"",Biometria!K412)</f>
        <v/>
      </c>
    </row>
    <row r="403" spans="1:11" x14ac:dyDescent="0.25">
      <c r="A403" s="62" t="str">
        <f>IF(LEN(B402)&gt;0,Biometria!A413,"")</f>
        <v/>
      </c>
      <c r="B403" s="62" t="str">
        <f>IF(LEN(Biometria!B413)=0,"",Biometria!B413)</f>
        <v/>
      </c>
      <c r="C403" s="62" t="str">
        <f>IF(Biometria!C413=0,"",Biometria!C413)</f>
        <v/>
      </c>
      <c r="D403" s="62" t="str">
        <f>IF(Biometria!D413=0,"",Biometria!D413)</f>
        <v/>
      </c>
      <c r="E403" s="62" t="str">
        <f>IF(Biometria!E413=0,"",Biometria!E413)</f>
        <v/>
      </c>
      <c r="F403" s="62" t="str">
        <f>IF(Biometria!F413=0,"",Biometria!F413)</f>
        <v/>
      </c>
      <c r="G403" s="62" t="str">
        <f>IF(Biometria!G413=0,"",Biometria!G413)</f>
        <v/>
      </c>
      <c r="H403" s="62" t="str">
        <f>IF(Biometria!H413=0,"",Biometria!H413)</f>
        <v/>
      </c>
      <c r="I403" s="62" t="str">
        <f>IF(Biometria!I413=0,"",Biometria!I413)</f>
        <v/>
      </c>
      <c r="J403" s="62" t="str">
        <f>IF(Biometria!J413=0,"",Biometria!J413)</f>
        <v/>
      </c>
      <c r="K403" s="62" t="str">
        <f>IF(Biometria!K413=0,"",Biometria!K413)</f>
        <v/>
      </c>
    </row>
    <row r="404" spans="1:11" x14ac:dyDescent="0.25">
      <c r="A404" s="62" t="str">
        <f>IF(LEN(B403)&gt;0,Biometria!A414,"")</f>
        <v/>
      </c>
      <c r="B404" s="62" t="str">
        <f>IF(LEN(Biometria!B414)=0,"",Biometria!B414)</f>
        <v/>
      </c>
      <c r="C404" s="62" t="str">
        <f>IF(Biometria!C414=0,"",Biometria!C414)</f>
        <v/>
      </c>
      <c r="D404" s="62" t="str">
        <f>IF(Biometria!D414=0,"",Biometria!D414)</f>
        <v/>
      </c>
      <c r="E404" s="62" t="str">
        <f>IF(Biometria!E414=0,"",Biometria!E414)</f>
        <v/>
      </c>
      <c r="F404" s="62" t="str">
        <f>IF(Biometria!F414=0,"",Biometria!F414)</f>
        <v/>
      </c>
      <c r="G404" s="62" t="str">
        <f>IF(Biometria!G414=0,"",Biometria!G414)</f>
        <v/>
      </c>
      <c r="H404" s="62" t="str">
        <f>IF(Biometria!H414=0,"",Biometria!H414)</f>
        <v/>
      </c>
      <c r="I404" s="62" t="str">
        <f>IF(Biometria!I414=0,"",Biometria!I414)</f>
        <v/>
      </c>
      <c r="J404" s="62" t="str">
        <f>IF(Biometria!J414=0,"",Biometria!J414)</f>
        <v/>
      </c>
      <c r="K404" s="62" t="str">
        <f>IF(Biometria!K414=0,"",Biometria!K414)</f>
        <v/>
      </c>
    </row>
    <row r="405" spans="1:11" x14ac:dyDescent="0.25">
      <c r="A405" s="62" t="str">
        <f>IF(LEN(B404)&gt;0,Biometria!A415,"")</f>
        <v/>
      </c>
      <c r="B405" s="62" t="str">
        <f>IF(LEN(Biometria!B415)=0,"",Biometria!B415)</f>
        <v/>
      </c>
      <c r="C405" s="62" t="str">
        <f>IF(Biometria!C415=0,"",Biometria!C415)</f>
        <v/>
      </c>
      <c r="D405" s="62" t="str">
        <f>IF(Biometria!D415=0,"",Biometria!D415)</f>
        <v/>
      </c>
      <c r="E405" s="62" t="str">
        <f>IF(Biometria!E415=0,"",Biometria!E415)</f>
        <v/>
      </c>
      <c r="F405" s="62" t="str">
        <f>IF(Biometria!F415=0,"",Biometria!F415)</f>
        <v/>
      </c>
      <c r="G405" s="62" t="str">
        <f>IF(Biometria!G415=0,"",Biometria!G415)</f>
        <v/>
      </c>
      <c r="H405" s="62" t="str">
        <f>IF(Biometria!H415=0,"",Biometria!H415)</f>
        <v/>
      </c>
      <c r="I405" s="62" t="str">
        <f>IF(Biometria!I415=0,"",Biometria!I415)</f>
        <v/>
      </c>
      <c r="J405" s="62" t="str">
        <f>IF(Biometria!J415=0,"",Biometria!J415)</f>
        <v/>
      </c>
      <c r="K405" s="62" t="str">
        <f>IF(Biometria!K415=0,"",Biometria!K415)</f>
        <v/>
      </c>
    </row>
    <row r="406" spans="1:11" x14ac:dyDescent="0.25">
      <c r="A406" s="62" t="str">
        <f>IF(LEN(B405)&gt;0,Biometria!A416,"")</f>
        <v/>
      </c>
      <c r="B406" s="62" t="str">
        <f>IF(LEN(Biometria!B416)=0,"",Biometria!B416)</f>
        <v/>
      </c>
      <c r="C406" s="62" t="str">
        <f>IF(Biometria!C416=0,"",Biometria!C416)</f>
        <v/>
      </c>
      <c r="D406" s="62" t="str">
        <f>IF(Biometria!D416=0,"",Biometria!D416)</f>
        <v/>
      </c>
      <c r="E406" s="62" t="str">
        <f>IF(Biometria!E416=0,"",Biometria!E416)</f>
        <v/>
      </c>
      <c r="F406" s="62" t="str">
        <f>IF(Biometria!F416=0,"",Biometria!F416)</f>
        <v/>
      </c>
      <c r="G406" s="62" t="str">
        <f>IF(Biometria!G416=0,"",Biometria!G416)</f>
        <v/>
      </c>
      <c r="H406" s="62" t="str">
        <f>IF(Biometria!H416=0,"",Biometria!H416)</f>
        <v/>
      </c>
      <c r="I406" s="62" t="str">
        <f>IF(Biometria!I416=0,"",Biometria!I416)</f>
        <v/>
      </c>
      <c r="J406" s="62" t="str">
        <f>IF(Biometria!J416=0,"",Biometria!J416)</f>
        <v/>
      </c>
      <c r="K406" s="62" t="str">
        <f>IF(Biometria!K416=0,"",Biometria!K416)</f>
        <v/>
      </c>
    </row>
    <row r="407" spans="1:11" x14ac:dyDescent="0.25">
      <c r="A407" s="62" t="str">
        <f>IF(LEN(B406)&gt;0,Biometria!A417,"")</f>
        <v/>
      </c>
      <c r="B407" s="62" t="str">
        <f>IF(LEN(Biometria!B417)=0,"",Biometria!B417)</f>
        <v/>
      </c>
      <c r="C407" s="62" t="str">
        <f>IF(Biometria!C417=0,"",Biometria!C417)</f>
        <v/>
      </c>
      <c r="D407" s="62" t="str">
        <f>IF(Biometria!D417=0,"",Biometria!D417)</f>
        <v/>
      </c>
      <c r="E407" s="62" t="str">
        <f>IF(Biometria!E417=0,"",Biometria!E417)</f>
        <v/>
      </c>
      <c r="F407" s="62" t="str">
        <f>IF(Biometria!F417=0,"",Biometria!F417)</f>
        <v/>
      </c>
      <c r="G407" s="62" t="str">
        <f>IF(Biometria!G417=0,"",Biometria!G417)</f>
        <v/>
      </c>
      <c r="H407" s="62" t="str">
        <f>IF(Biometria!H417=0,"",Biometria!H417)</f>
        <v/>
      </c>
      <c r="I407" s="62" t="str">
        <f>IF(Biometria!I417=0,"",Biometria!I417)</f>
        <v/>
      </c>
      <c r="J407" s="62" t="str">
        <f>IF(Biometria!J417=0,"",Biometria!J417)</f>
        <v/>
      </c>
      <c r="K407" s="62" t="str">
        <f>IF(Biometria!K417=0,"",Biometria!K417)</f>
        <v/>
      </c>
    </row>
    <row r="408" spans="1:11" x14ac:dyDescent="0.25">
      <c r="A408" s="62" t="str">
        <f>IF(LEN(B407)&gt;0,Biometria!A418,"")</f>
        <v/>
      </c>
      <c r="B408" s="62" t="str">
        <f>IF(LEN(Biometria!B418)=0,"",Biometria!B418)</f>
        <v/>
      </c>
      <c r="C408" s="62" t="str">
        <f>IF(Biometria!C418=0,"",Biometria!C418)</f>
        <v/>
      </c>
      <c r="D408" s="62" t="str">
        <f>IF(Biometria!D418=0,"",Biometria!D418)</f>
        <v/>
      </c>
      <c r="E408" s="62" t="str">
        <f>IF(Biometria!E418=0,"",Biometria!E418)</f>
        <v/>
      </c>
      <c r="F408" s="62" t="str">
        <f>IF(Biometria!F418=0,"",Biometria!F418)</f>
        <v/>
      </c>
      <c r="G408" s="62" t="str">
        <f>IF(Biometria!G418=0,"",Biometria!G418)</f>
        <v/>
      </c>
      <c r="H408" s="62" t="str">
        <f>IF(Biometria!H418=0,"",Biometria!H418)</f>
        <v/>
      </c>
      <c r="I408" s="62" t="str">
        <f>IF(Biometria!I418=0,"",Biometria!I418)</f>
        <v/>
      </c>
      <c r="J408" s="62" t="str">
        <f>IF(Biometria!J418=0,"",Biometria!J418)</f>
        <v/>
      </c>
      <c r="K408" s="62" t="str">
        <f>IF(Biometria!K418=0,"",Biometria!K418)</f>
        <v/>
      </c>
    </row>
    <row r="409" spans="1:11" x14ac:dyDescent="0.25">
      <c r="A409" s="62" t="str">
        <f>IF(LEN(B408)&gt;0,Biometria!A419,"")</f>
        <v/>
      </c>
      <c r="B409" s="62" t="str">
        <f>IF(LEN(Biometria!B419)=0,"",Biometria!B419)</f>
        <v/>
      </c>
      <c r="C409" s="62" t="str">
        <f>IF(Biometria!C419=0,"",Biometria!C419)</f>
        <v/>
      </c>
      <c r="D409" s="62" t="str">
        <f>IF(Biometria!D419=0,"",Biometria!D419)</f>
        <v/>
      </c>
      <c r="E409" s="62" t="str">
        <f>IF(Biometria!E419=0,"",Biometria!E419)</f>
        <v/>
      </c>
      <c r="F409" s="62" t="str">
        <f>IF(Biometria!F419=0,"",Biometria!F419)</f>
        <v/>
      </c>
      <c r="G409" s="62" t="str">
        <f>IF(Biometria!G419=0,"",Biometria!G419)</f>
        <v/>
      </c>
      <c r="H409" s="62" t="str">
        <f>IF(Biometria!H419=0,"",Biometria!H419)</f>
        <v/>
      </c>
      <c r="I409" s="62" t="str">
        <f>IF(Biometria!I419=0,"",Biometria!I419)</f>
        <v/>
      </c>
      <c r="J409" s="62" t="str">
        <f>IF(Biometria!J419=0,"",Biometria!J419)</f>
        <v/>
      </c>
      <c r="K409" s="62" t="str">
        <f>IF(Biometria!K419=0,"",Biometria!K419)</f>
        <v/>
      </c>
    </row>
    <row r="410" spans="1:11" x14ac:dyDescent="0.25">
      <c r="A410" s="62" t="str">
        <f>IF(LEN(B409)&gt;0,Biometria!A420,"")</f>
        <v/>
      </c>
      <c r="B410" s="62" t="str">
        <f>IF(LEN(Biometria!B420)=0,"",Biometria!B420)</f>
        <v/>
      </c>
      <c r="C410" s="62" t="str">
        <f>IF(Biometria!C420=0,"",Biometria!C420)</f>
        <v/>
      </c>
      <c r="D410" s="62" t="str">
        <f>IF(Biometria!D420=0,"",Biometria!D420)</f>
        <v/>
      </c>
      <c r="E410" s="62" t="str">
        <f>IF(Biometria!E420=0,"",Biometria!E420)</f>
        <v/>
      </c>
      <c r="F410" s="62" t="str">
        <f>IF(Biometria!F420=0,"",Biometria!F420)</f>
        <v/>
      </c>
      <c r="G410" s="62" t="str">
        <f>IF(Biometria!G420=0,"",Biometria!G420)</f>
        <v/>
      </c>
      <c r="H410" s="62" t="str">
        <f>IF(Biometria!H420=0,"",Biometria!H420)</f>
        <v/>
      </c>
      <c r="I410" s="62" t="str">
        <f>IF(Biometria!I420=0,"",Biometria!I420)</f>
        <v/>
      </c>
      <c r="J410" s="62" t="str">
        <f>IF(Biometria!J420=0,"",Biometria!J420)</f>
        <v/>
      </c>
      <c r="K410" s="62" t="str">
        <f>IF(Biometria!K420=0,"",Biometria!K420)</f>
        <v/>
      </c>
    </row>
    <row r="411" spans="1:11" x14ac:dyDescent="0.25">
      <c r="A411" s="62" t="str">
        <f>IF(LEN(B410)&gt;0,Biometria!A421,"")</f>
        <v/>
      </c>
      <c r="B411" s="62" t="str">
        <f>IF(LEN(Biometria!B421)=0,"",Biometria!B421)</f>
        <v/>
      </c>
      <c r="C411" s="62" t="str">
        <f>IF(Biometria!C421=0,"",Biometria!C421)</f>
        <v/>
      </c>
      <c r="D411" s="62" t="str">
        <f>IF(Biometria!D421=0,"",Biometria!D421)</f>
        <v/>
      </c>
      <c r="E411" s="62" t="str">
        <f>IF(Biometria!E421=0,"",Biometria!E421)</f>
        <v/>
      </c>
      <c r="F411" s="62" t="str">
        <f>IF(Biometria!F421=0,"",Biometria!F421)</f>
        <v/>
      </c>
      <c r="G411" s="62" t="str">
        <f>IF(Biometria!G421=0,"",Biometria!G421)</f>
        <v/>
      </c>
      <c r="H411" s="62" t="str">
        <f>IF(Biometria!H421=0,"",Biometria!H421)</f>
        <v/>
      </c>
      <c r="I411" s="62" t="str">
        <f>IF(Biometria!I421=0,"",Biometria!I421)</f>
        <v/>
      </c>
      <c r="J411" s="62" t="str">
        <f>IF(Biometria!J421=0,"",Biometria!J421)</f>
        <v/>
      </c>
      <c r="K411" s="62" t="str">
        <f>IF(Biometria!K421=0,"",Biometria!K421)</f>
        <v/>
      </c>
    </row>
    <row r="412" spans="1:11" x14ac:dyDescent="0.25">
      <c r="A412" s="62" t="str">
        <f>IF(LEN(B411)&gt;0,Biometria!A422,"")</f>
        <v/>
      </c>
      <c r="B412" s="62" t="str">
        <f>IF(LEN(Biometria!B422)=0,"",Biometria!B422)</f>
        <v/>
      </c>
      <c r="C412" s="62" t="str">
        <f>IF(Biometria!C422=0,"",Biometria!C422)</f>
        <v/>
      </c>
      <c r="D412" s="62" t="str">
        <f>IF(Biometria!D422=0,"",Biometria!D422)</f>
        <v/>
      </c>
      <c r="E412" s="62" t="str">
        <f>IF(Biometria!E422=0,"",Biometria!E422)</f>
        <v/>
      </c>
      <c r="F412" s="62" t="str">
        <f>IF(Biometria!F422=0,"",Biometria!F422)</f>
        <v/>
      </c>
      <c r="G412" s="62" t="str">
        <f>IF(Biometria!G422=0,"",Biometria!G422)</f>
        <v/>
      </c>
      <c r="H412" s="62" t="str">
        <f>IF(Biometria!H422=0,"",Biometria!H422)</f>
        <v/>
      </c>
      <c r="I412" s="62" t="str">
        <f>IF(Biometria!I422=0,"",Biometria!I422)</f>
        <v/>
      </c>
      <c r="J412" s="62" t="str">
        <f>IF(Biometria!J422=0,"",Biometria!J422)</f>
        <v/>
      </c>
      <c r="K412" s="62" t="str">
        <f>IF(Biometria!K422=0,"",Biometria!K422)</f>
        <v/>
      </c>
    </row>
    <row r="413" spans="1:11" x14ac:dyDescent="0.25">
      <c r="A413" s="62" t="str">
        <f>IF(LEN(B412)&gt;0,Biometria!A423,"")</f>
        <v/>
      </c>
      <c r="B413" s="62" t="str">
        <f>IF(LEN(Biometria!B423)=0,"",Biometria!B423)</f>
        <v/>
      </c>
      <c r="C413" s="62" t="str">
        <f>IF(Biometria!C423=0,"",Biometria!C423)</f>
        <v/>
      </c>
      <c r="D413" s="62" t="str">
        <f>IF(Biometria!D423=0,"",Biometria!D423)</f>
        <v/>
      </c>
      <c r="E413" s="62" t="str">
        <f>IF(Biometria!E423=0,"",Biometria!E423)</f>
        <v/>
      </c>
      <c r="F413" s="62" t="str">
        <f>IF(Biometria!F423=0,"",Biometria!F423)</f>
        <v/>
      </c>
      <c r="G413" s="62" t="str">
        <f>IF(Biometria!G423=0,"",Biometria!G423)</f>
        <v/>
      </c>
      <c r="H413" s="62" t="str">
        <f>IF(Biometria!H423=0,"",Biometria!H423)</f>
        <v/>
      </c>
      <c r="I413" s="62" t="str">
        <f>IF(Biometria!I423=0,"",Biometria!I423)</f>
        <v/>
      </c>
      <c r="J413" s="62" t="str">
        <f>IF(Biometria!J423=0,"",Biometria!J423)</f>
        <v/>
      </c>
      <c r="K413" s="62" t="str">
        <f>IF(Biometria!K423=0,"",Biometria!K423)</f>
        <v/>
      </c>
    </row>
    <row r="414" spans="1:11" x14ac:dyDescent="0.25">
      <c r="A414" s="62" t="str">
        <f>IF(LEN(B413)&gt;0,Biometria!A424,"")</f>
        <v/>
      </c>
      <c r="B414" s="62" t="str">
        <f>IF(LEN(Biometria!B424)=0,"",Biometria!B424)</f>
        <v/>
      </c>
      <c r="C414" s="62" t="str">
        <f>IF(Biometria!C424=0,"",Biometria!C424)</f>
        <v/>
      </c>
      <c r="D414" s="62" t="str">
        <f>IF(Biometria!D424=0,"",Biometria!D424)</f>
        <v/>
      </c>
      <c r="E414" s="62" t="str">
        <f>IF(Biometria!E424=0,"",Biometria!E424)</f>
        <v/>
      </c>
      <c r="F414" s="62" t="str">
        <f>IF(Biometria!F424=0,"",Biometria!F424)</f>
        <v/>
      </c>
      <c r="G414" s="62" t="str">
        <f>IF(Biometria!G424=0,"",Biometria!G424)</f>
        <v/>
      </c>
      <c r="H414" s="62" t="str">
        <f>IF(Biometria!H424=0,"",Biometria!H424)</f>
        <v/>
      </c>
      <c r="I414" s="62" t="str">
        <f>IF(Biometria!I424=0,"",Biometria!I424)</f>
        <v/>
      </c>
      <c r="J414" s="62" t="str">
        <f>IF(Biometria!J424=0,"",Biometria!J424)</f>
        <v/>
      </c>
      <c r="K414" s="62" t="str">
        <f>IF(Biometria!K424=0,"",Biometria!K424)</f>
        <v/>
      </c>
    </row>
    <row r="415" spans="1:11" x14ac:dyDescent="0.25">
      <c r="A415" s="62" t="str">
        <f>IF(LEN(B414)&gt;0,Biometria!A425,"")</f>
        <v/>
      </c>
      <c r="B415" s="62" t="str">
        <f>IF(LEN(Biometria!B425)=0,"",Biometria!B425)</f>
        <v/>
      </c>
      <c r="C415" s="62" t="str">
        <f>IF(Biometria!C425=0,"",Biometria!C425)</f>
        <v/>
      </c>
      <c r="D415" s="62" t="str">
        <f>IF(Biometria!D425=0,"",Biometria!D425)</f>
        <v/>
      </c>
      <c r="E415" s="62" t="str">
        <f>IF(Biometria!E425=0,"",Biometria!E425)</f>
        <v/>
      </c>
      <c r="F415" s="62" t="str">
        <f>IF(Biometria!F425=0,"",Biometria!F425)</f>
        <v/>
      </c>
      <c r="G415" s="62" t="str">
        <f>IF(Biometria!G425=0,"",Biometria!G425)</f>
        <v/>
      </c>
      <c r="H415" s="62" t="str">
        <f>IF(Biometria!H425=0,"",Biometria!H425)</f>
        <v/>
      </c>
      <c r="I415" s="62" t="str">
        <f>IF(Biometria!I425=0,"",Biometria!I425)</f>
        <v/>
      </c>
      <c r="J415" s="62" t="str">
        <f>IF(Biometria!J425=0,"",Biometria!J425)</f>
        <v/>
      </c>
      <c r="K415" s="62" t="str">
        <f>IF(Biometria!K425=0,"",Biometria!K425)</f>
        <v/>
      </c>
    </row>
    <row r="416" spans="1:11" x14ac:dyDescent="0.25">
      <c r="A416" s="62" t="str">
        <f>IF(LEN(B415)&gt;0,Biometria!A426,"")</f>
        <v/>
      </c>
      <c r="B416" s="62" t="str">
        <f>IF(LEN(Biometria!B426)=0,"",Biometria!B426)</f>
        <v/>
      </c>
      <c r="C416" s="62" t="str">
        <f>IF(Biometria!C426=0,"",Biometria!C426)</f>
        <v/>
      </c>
      <c r="D416" s="62" t="str">
        <f>IF(Biometria!D426=0,"",Biometria!D426)</f>
        <v/>
      </c>
      <c r="E416" s="62" t="str">
        <f>IF(Biometria!E426=0,"",Biometria!E426)</f>
        <v/>
      </c>
      <c r="F416" s="62" t="str">
        <f>IF(Biometria!F426=0,"",Biometria!F426)</f>
        <v/>
      </c>
      <c r="G416" s="62" t="str">
        <f>IF(Biometria!G426=0,"",Biometria!G426)</f>
        <v/>
      </c>
      <c r="H416" s="62" t="str">
        <f>IF(Biometria!H426=0,"",Biometria!H426)</f>
        <v/>
      </c>
      <c r="I416" s="62" t="str">
        <f>IF(Biometria!I426=0,"",Biometria!I426)</f>
        <v/>
      </c>
      <c r="J416" s="62" t="str">
        <f>IF(Biometria!J426=0,"",Biometria!J426)</f>
        <v/>
      </c>
      <c r="K416" s="62" t="str">
        <f>IF(Biometria!K426=0,"",Biometria!K426)</f>
        <v/>
      </c>
    </row>
    <row r="417" spans="1:11" x14ac:dyDescent="0.25">
      <c r="A417" s="62" t="str">
        <f>IF(LEN(B416)&gt;0,Biometria!A427,"")</f>
        <v/>
      </c>
      <c r="B417" s="62" t="str">
        <f>IF(LEN(Biometria!B427)=0,"",Biometria!B427)</f>
        <v/>
      </c>
      <c r="C417" s="62" t="str">
        <f>IF(Biometria!C427=0,"",Biometria!C427)</f>
        <v/>
      </c>
      <c r="D417" s="62" t="str">
        <f>IF(Biometria!D427=0,"",Biometria!D427)</f>
        <v/>
      </c>
      <c r="E417" s="62" t="str">
        <f>IF(Biometria!E427=0,"",Biometria!E427)</f>
        <v/>
      </c>
      <c r="F417" s="62" t="str">
        <f>IF(Biometria!F427=0,"",Biometria!F427)</f>
        <v/>
      </c>
      <c r="G417" s="62" t="str">
        <f>IF(Biometria!G427=0,"",Biometria!G427)</f>
        <v/>
      </c>
      <c r="H417" s="62" t="str">
        <f>IF(Biometria!H427=0,"",Biometria!H427)</f>
        <v/>
      </c>
      <c r="I417" s="62" t="str">
        <f>IF(Biometria!I427=0,"",Biometria!I427)</f>
        <v/>
      </c>
      <c r="J417" s="62" t="str">
        <f>IF(Biometria!J427=0,"",Biometria!J427)</f>
        <v/>
      </c>
      <c r="K417" s="62" t="str">
        <f>IF(Biometria!K427=0,"",Biometria!K427)</f>
        <v/>
      </c>
    </row>
    <row r="418" spans="1:11" x14ac:dyDescent="0.25">
      <c r="A418" s="62" t="str">
        <f>IF(LEN(B417)&gt;0,Biometria!A428,"")</f>
        <v/>
      </c>
      <c r="B418" s="62" t="str">
        <f>IF(LEN(Biometria!B428)=0,"",Biometria!B428)</f>
        <v/>
      </c>
      <c r="C418" s="62" t="str">
        <f>IF(Biometria!C428=0,"",Biometria!C428)</f>
        <v/>
      </c>
      <c r="D418" s="62" t="str">
        <f>IF(Biometria!D428=0,"",Biometria!D428)</f>
        <v/>
      </c>
      <c r="E418" s="62" t="str">
        <f>IF(Biometria!E428=0,"",Biometria!E428)</f>
        <v/>
      </c>
      <c r="F418" s="62" t="str">
        <f>IF(Biometria!F428=0,"",Biometria!F428)</f>
        <v/>
      </c>
      <c r="G418" s="62" t="str">
        <f>IF(Biometria!G428=0,"",Biometria!G428)</f>
        <v/>
      </c>
      <c r="H418" s="62" t="str">
        <f>IF(Biometria!H428=0,"",Biometria!H428)</f>
        <v/>
      </c>
      <c r="I418" s="62" t="str">
        <f>IF(Biometria!I428=0,"",Biometria!I428)</f>
        <v/>
      </c>
      <c r="J418" s="62" t="str">
        <f>IF(Biometria!J428=0,"",Biometria!J428)</f>
        <v/>
      </c>
      <c r="K418" s="62" t="str">
        <f>IF(Biometria!K428=0,"",Biometria!K428)</f>
        <v/>
      </c>
    </row>
    <row r="419" spans="1:11" x14ac:dyDescent="0.25">
      <c r="A419" s="62" t="str">
        <f>IF(LEN(B418)&gt;0,Biometria!A429,"")</f>
        <v/>
      </c>
      <c r="B419" s="62" t="str">
        <f>IF(LEN(Biometria!B429)=0,"",Biometria!B429)</f>
        <v/>
      </c>
      <c r="C419" s="62" t="str">
        <f>IF(Biometria!C429=0,"",Biometria!C429)</f>
        <v/>
      </c>
      <c r="D419" s="62" t="str">
        <f>IF(Biometria!D429=0,"",Biometria!D429)</f>
        <v/>
      </c>
      <c r="E419" s="62" t="str">
        <f>IF(Biometria!E429=0,"",Biometria!E429)</f>
        <v/>
      </c>
      <c r="F419" s="62" t="str">
        <f>IF(Biometria!F429=0,"",Biometria!F429)</f>
        <v/>
      </c>
      <c r="G419" s="62" t="str">
        <f>IF(Biometria!G429=0,"",Biometria!G429)</f>
        <v/>
      </c>
      <c r="H419" s="62" t="str">
        <f>IF(Biometria!H429=0,"",Biometria!H429)</f>
        <v/>
      </c>
      <c r="I419" s="62" t="str">
        <f>IF(Biometria!I429=0,"",Biometria!I429)</f>
        <v/>
      </c>
      <c r="J419" s="62" t="str">
        <f>IF(Biometria!J429=0,"",Biometria!J429)</f>
        <v/>
      </c>
      <c r="K419" s="62" t="str">
        <f>IF(Biometria!K429=0,"",Biometria!K429)</f>
        <v/>
      </c>
    </row>
    <row r="420" spans="1:11" x14ac:dyDescent="0.25">
      <c r="A420" s="62" t="str">
        <f>IF(LEN(B419)&gt;0,Biometria!A430,"")</f>
        <v/>
      </c>
      <c r="B420" s="62" t="str">
        <f>IF(LEN(Biometria!B430)=0,"",Biometria!B430)</f>
        <v/>
      </c>
      <c r="C420" s="62" t="str">
        <f>IF(Biometria!C430=0,"",Biometria!C430)</f>
        <v/>
      </c>
      <c r="D420" s="62" t="str">
        <f>IF(Biometria!D430=0,"",Biometria!D430)</f>
        <v/>
      </c>
      <c r="E420" s="62" t="str">
        <f>IF(Biometria!E430=0,"",Biometria!E430)</f>
        <v/>
      </c>
      <c r="F420" s="62" t="str">
        <f>IF(Biometria!F430=0,"",Biometria!F430)</f>
        <v/>
      </c>
      <c r="G420" s="62" t="str">
        <f>IF(Biometria!G430=0,"",Biometria!G430)</f>
        <v/>
      </c>
      <c r="H420" s="62" t="str">
        <f>IF(Biometria!H430=0,"",Biometria!H430)</f>
        <v/>
      </c>
      <c r="I420" s="62" t="str">
        <f>IF(Biometria!I430=0,"",Biometria!I430)</f>
        <v/>
      </c>
      <c r="J420" s="62" t="str">
        <f>IF(Biometria!J430=0,"",Biometria!J430)</f>
        <v/>
      </c>
      <c r="K420" s="62" t="str">
        <f>IF(Biometria!K430=0,"",Biometria!K430)</f>
        <v/>
      </c>
    </row>
    <row r="421" spans="1:11" x14ac:dyDescent="0.25">
      <c r="A421" s="62" t="str">
        <f>IF(LEN(B420)&gt;0,Biometria!A431,"")</f>
        <v/>
      </c>
      <c r="B421" s="62" t="str">
        <f>IF(LEN(Biometria!B431)=0,"",Biometria!B431)</f>
        <v/>
      </c>
      <c r="C421" s="62" t="str">
        <f>IF(Biometria!C431=0,"",Biometria!C431)</f>
        <v/>
      </c>
      <c r="D421" s="62" t="str">
        <f>IF(Biometria!D431=0,"",Biometria!D431)</f>
        <v/>
      </c>
      <c r="E421" s="62" t="str">
        <f>IF(Biometria!E431=0,"",Biometria!E431)</f>
        <v/>
      </c>
      <c r="F421" s="62" t="str">
        <f>IF(Biometria!F431=0,"",Biometria!F431)</f>
        <v/>
      </c>
      <c r="G421" s="62" t="str">
        <f>IF(Biometria!G431=0,"",Biometria!G431)</f>
        <v/>
      </c>
      <c r="H421" s="62" t="str">
        <f>IF(Biometria!H431=0,"",Biometria!H431)</f>
        <v/>
      </c>
      <c r="I421" s="62" t="str">
        <f>IF(Biometria!I431=0,"",Biometria!I431)</f>
        <v/>
      </c>
      <c r="J421" s="62" t="str">
        <f>IF(Biometria!J431=0,"",Biometria!J431)</f>
        <v/>
      </c>
      <c r="K421" s="62" t="str">
        <f>IF(Biometria!K431=0,"",Biometria!K431)</f>
        <v/>
      </c>
    </row>
    <row r="422" spans="1:11" x14ac:dyDescent="0.25">
      <c r="A422" s="62" t="str">
        <f>IF(LEN(B421)&gt;0,Biometria!A432,"")</f>
        <v/>
      </c>
      <c r="B422" s="62" t="str">
        <f>IF(LEN(Biometria!B432)=0,"",Biometria!B432)</f>
        <v/>
      </c>
      <c r="C422" s="62" t="str">
        <f>IF(Biometria!C432=0,"",Biometria!C432)</f>
        <v/>
      </c>
      <c r="D422" s="62" t="str">
        <f>IF(Biometria!D432=0,"",Biometria!D432)</f>
        <v/>
      </c>
      <c r="E422" s="62" t="str">
        <f>IF(Biometria!E432=0,"",Biometria!E432)</f>
        <v/>
      </c>
      <c r="F422" s="62" t="str">
        <f>IF(Biometria!F432=0,"",Biometria!F432)</f>
        <v/>
      </c>
      <c r="G422" s="62" t="str">
        <f>IF(Biometria!G432=0,"",Biometria!G432)</f>
        <v/>
      </c>
      <c r="H422" s="62" t="str">
        <f>IF(Biometria!H432=0,"",Biometria!H432)</f>
        <v/>
      </c>
      <c r="I422" s="62" t="str">
        <f>IF(Biometria!I432=0,"",Biometria!I432)</f>
        <v/>
      </c>
      <c r="J422" s="62" t="str">
        <f>IF(Biometria!J432=0,"",Biometria!J432)</f>
        <v/>
      </c>
      <c r="K422" s="62" t="str">
        <f>IF(Biometria!K432=0,"",Biometria!K432)</f>
        <v/>
      </c>
    </row>
    <row r="423" spans="1:11" x14ac:dyDescent="0.25">
      <c r="A423" s="62" t="str">
        <f>IF(LEN(B422)&gt;0,Biometria!A433,"")</f>
        <v/>
      </c>
      <c r="B423" s="62" t="str">
        <f>IF(LEN(Biometria!B433)=0,"",Biometria!B433)</f>
        <v/>
      </c>
      <c r="C423" s="62" t="str">
        <f>IF(Biometria!C433=0,"",Biometria!C433)</f>
        <v/>
      </c>
      <c r="D423" s="62" t="str">
        <f>IF(Biometria!D433=0,"",Biometria!D433)</f>
        <v/>
      </c>
      <c r="E423" s="62" t="str">
        <f>IF(Biometria!E433=0,"",Biometria!E433)</f>
        <v/>
      </c>
      <c r="F423" s="62" t="str">
        <f>IF(Biometria!F433=0,"",Biometria!F433)</f>
        <v/>
      </c>
      <c r="G423" s="62" t="str">
        <f>IF(Biometria!G433=0,"",Biometria!G433)</f>
        <v/>
      </c>
      <c r="H423" s="62" t="str">
        <f>IF(Biometria!H433=0,"",Biometria!H433)</f>
        <v/>
      </c>
      <c r="I423" s="62" t="str">
        <f>IF(Biometria!I433=0,"",Biometria!I433)</f>
        <v/>
      </c>
      <c r="J423" s="62" t="str">
        <f>IF(Biometria!J433=0,"",Biometria!J433)</f>
        <v/>
      </c>
      <c r="K423" s="62" t="str">
        <f>IF(Biometria!K433=0,"",Biometria!K433)</f>
        <v/>
      </c>
    </row>
    <row r="424" spans="1:11" x14ac:dyDescent="0.25">
      <c r="A424" s="62" t="str">
        <f>IF(LEN(B423)&gt;0,Biometria!A434,"")</f>
        <v/>
      </c>
      <c r="B424" s="62" t="str">
        <f>IF(LEN(Biometria!B434)=0,"",Biometria!B434)</f>
        <v/>
      </c>
      <c r="C424" s="62" t="str">
        <f>IF(Biometria!C434=0,"",Biometria!C434)</f>
        <v/>
      </c>
      <c r="D424" s="62" t="str">
        <f>IF(Biometria!D434=0,"",Biometria!D434)</f>
        <v/>
      </c>
      <c r="E424" s="62" t="str">
        <f>IF(Biometria!E434=0,"",Biometria!E434)</f>
        <v/>
      </c>
      <c r="F424" s="62" t="str">
        <f>IF(Biometria!F434=0,"",Biometria!F434)</f>
        <v/>
      </c>
      <c r="G424" s="62" t="str">
        <f>IF(Biometria!G434=0,"",Biometria!G434)</f>
        <v/>
      </c>
      <c r="H424" s="62" t="str">
        <f>IF(Biometria!H434=0,"",Biometria!H434)</f>
        <v/>
      </c>
      <c r="I424" s="62" t="str">
        <f>IF(Biometria!I434=0,"",Biometria!I434)</f>
        <v/>
      </c>
      <c r="J424" s="62" t="str">
        <f>IF(Biometria!J434=0,"",Biometria!J434)</f>
        <v/>
      </c>
      <c r="K424" s="62" t="str">
        <f>IF(Biometria!K434=0,"",Biometria!K434)</f>
        <v/>
      </c>
    </row>
    <row r="425" spans="1:11" x14ac:dyDescent="0.25">
      <c r="A425" s="62" t="str">
        <f>IF(LEN(B424)&gt;0,Biometria!A435,"")</f>
        <v/>
      </c>
      <c r="B425" s="62" t="str">
        <f>IF(LEN(Biometria!B435)=0,"",Biometria!B435)</f>
        <v/>
      </c>
      <c r="C425" s="62" t="str">
        <f>IF(Biometria!C435=0,"",Biometria!C435)</f>
        <v/>
      </c>
      <c r="D425" s="62" t="str">
        <f>IF(Biometria!D435=0,"",Biometria!D435)</f>
        <v/>
      </c>
      <c r="E425" s="62" t="str">
        <f>IF(Biometria!E435=0,"",Biometria!E435)</f>
        <v/>
      </c>
      <c r="F425" s="62" t="str">
        <f>IF(Biometria!F435=0,"",Biometria!F435)</f>
        <v/>
      </c>
      <c r="G425" s="62" t="str">
        <f>IF(Biometria!G435=0,"",Biometria!G435)</f>
        <v/>
      </c>
      <c r="H425" s="62" t="str">
        <f>IF(Biometria!H435=0,"",Biometria!H435)</f>
        <v/>
      </c>
      <c r="I425" s="62" t="str">
        <f>IF(Biometria!I435=0,"",Biometria!I435)</f>
        <v/>
      </c>
      <c r="J425" s="62" t="str">
        <f>IF(Biometria!J435=0,"",Biometria!J435)</f>
        <v/>
      </c>
      <c r="K425" s="62" t="str">
        <f>IF(Biometria!K435=0,"",Biometria!K435)</f>
        <v/>
      </c>
    </row>
    <row r="426" spans="1:11" x14ac:dyDescent="0.25">
      <c r="A426" s="62" t="str">
        <f>IF(LEN(B425)&gt;0,Biometria!A436,"")</f>
        <v/>
      </c>
      <c r="B426" s="62" t="str">
        <f>IF(LEN(Biometria!B436)=0,"",Biometria!B436)</f>
        <v/>
      </c>
      <c r="C426" s="62" t="str">
        <f>IF(Biometria!C436=0,"",Biometria!C436)</f>
        <v/>
      </c>
      <c r="D426" s="62" t="str">
        <f>IF(Biometria!D436=0,"",Biometria!D436)</f>
        <v/>
      </c>
      <c r="E426" s="62" t="str">
        <f>IF(Biometria!E436=0,"",Biometria!E436)</f>
        <v/>
      </c>
      <c r="F426" s="62" t="str">
        <f>IF(Biometria!F436=0,"",Biometria!F436)</f>
        <v/>
      </c>
      <c r="G426" s="62" t="str">
        <f>IF(Biometria!G436=0,"",Biometria!G436)</f>
        <v/>
      </c>
      <c r="H426" s="62" t="str">
        <f>IF(Biometria!H436=0,"",Biometria!H436)</f>
        <v/>
      </c>
      <c r="I426" s="62" t="str">
        <f>IF(Biometria!I436=0,"",Biometria!I436)</f>
        <v/>
      </c>
      <c r="J426" s="62" t="str">
        <f>IF(Biometria!J436=0,"",Biometria!J436)</f>
        <v/>
      </c>
      <c r="K426" s="62" t="str">
        <f>IF(Biometria!K436=0,"",Biometria!K436)</f>
        <v/>
      </c>
    </row>
    <row r="427" spans="1:11" x14ac:dyDescent="0.25">
      <c r="A427" s="62" t="str">
        <f>IF(LEN(B426)&gt;0,Biometria!A437,"")</f>
        <v/>
      </c>
      <c r="B427" s="62" t="str">
        <f>IF(LEN(Biometria!B437)=0,"",Biometria!B437)</f>
        <v/>
      </c>
      <c r="C427" s="62" t="str">
        <f>IF(Biometria!C437=0,"",Biometria!C437)</f>
        <v/>
      </c>
      <c r="D427" s="62" t="str">
        <f>IF(Biometria!D437=0,"",Biometria!D437)</f>
        <v/>
      </c>
      <c r="E427" s="62" t="str">
        <f>IF(Biometria!E437=0,"",Biometria!E437)</f>
        <v/>
      </c>
      <c r="F427" s="62" t="str">
        <f>IF(Biometria!F437=0,"",Biometria!F437)</f>
        <v/>
      </c>
      <c r="G427" s="62" t="str">
        <f>IF(Biometria!G437=0,"",Biometria!G437)</f>
        <v/>
      </c>
      <c r="H427" s="62" t="str">
        <f>IF(Biometria!H437=0,"",Biometria!H437)</f>
        <v/>
      </c>
      <c r="I427" s="62" t="str">
        <f>IF(Biometria!I437=0,"",Biometria!I437)</f>
        <v/>
      </c>
      <c r="J427" s="62" t="str">
        <f>IF(Biometria!J437=0,"",Biometria!J437)</f>
        <v/>
      </c>
      <c r="K427" s="62" t="str">
        <f>IF(Biometria!K437=0,"",Biometria!K437)</f>
        <v/>
      </c>
    </row>
    <row r="428" spans="1:11" x14ac:dyDescent="0.25">
      <c r="A428" s="62" t="str">
        <f>IF(LEN(B427)&gt;0,Biometria!A438,"")</f>
        <v/>
      </c>
      <c r="B428" s="62" t="str">
        <f>IF(LEN(Biometria!B438)=0,"",Biometria!B438)</f>
        <v/>
      </c>
      <c r="C428" s="62" t="str">
        <f>IF(Biometria!C438=0,"",Biometria!C438)</f>
        <v/>
      </c>
      <c r="D428" s="62" t="str">
        <f>IF(Biometria!D438=0,"",Biometria!D438)</f>
        <v/>
      </c>
      <c r="E428" s="62" t="str">
        <f>IF(Biometria!E438=0,"",Biometria!E438)</f>
        <v/>
      </c>
      <c r="F428" s="62" t="str">
        <f>IF(Biometria!F438=0,"",Biometria!F438)</f>
        <v/>
      </c>
      <c r="G428" s="62" t="str">
        <f>IF(Biometria!G438=0,"",Biometria!G438)</f>
        <v/>
      </c>
      <c r="H428" s="62" t="str">
        <f>IF(Biometria!H438=0,"",Biometria!H438)</f>
        <v/>
      </c>
      <c r="I428" s="62" t="str">
        <f>IF(Biometria!I438=0,"",Biometria!I438)</f>
        <v/>
      </c>
      <c r="J428" s="62" t="str">
        <f>IF(Biometria!J438=0,"",Biometria!J438)</f>
        <v/>
      </c>
      <c r="K428" s="62" t="str">
        <f>IF(Biometria!K438=0,"",Biometria!K438)</f>
        <v/>
      </c>
    </row>
    <row r="429" spans="1:11" x14ac:dyDescent="0.25">
      <c r="A429" s="62" t="str">
        <f>IF(LEN(B428)&gt;0,Biometria!A439,"")</f>
        <v/>
      </c>
      <c r="B429" s="62" t="str">
        <f>IF(LEN(Biometria!B439)=0,"",Biometria!B439)</f>
        <v/>
      </c>
      <c r="C429" s="62" t="str">
        <f>IF(Biometria!C439=0,"",Biometria!C439)</f>
        <v/>
      </c>
      <c r="D429" s="62" t="str">
        <f>IF(Biometria!D439=0,"",Biometria!D439)</f>
        <v/>
      </c>
      <c r="E429" s="62" t="str">
        <f>IF(Biometria!E439=0,"",Biometria!E439)</f>
        <v/>
      </c>
      <c r="F429" s="62" t="str">
        <f>IF(Biometria!F439=0,"",Biometria!F439)</f>
        <v/>
      </c>
      <c r="G429" s="62" t="str">
        <f>IF(Biometria!G439=0,"",Biometria!G439)</f>
        <v/>
      </c>
      <c r="H429" s="62" t="str">
        <f>IF(Biometria!H439=0,"",Biometria!H439)</f>
        <v/>
      </c>
      <c r="I429" s="62" t="str">
        <f>IF(Biometria!I439=0,"",Biometria!I439)</f>
        <v/>
      </c>
      <c r="J429" s="62" t="str">
        <f>IF(Biometria!J439=0,"",Biometria!J439)</f>
        <v/>
      </c>
      <c r="K429" s="62" t="str">
        <f>IF(Biometria!K439=0,"",Biometria!K439)</f>
        <v/>
      </c>
    </row>
    <row r="430" spans="1:11" x14ac:dyDescent="0.25">
      <c r="A430" s="62" t="str">
        <f>IF(LEN(B429)&gt;0,Biometria!A440,"")</f>
        <v/>
      </c>
      <c r="B430" s="62" t="str">
        <f>IF(LEN(Biometria!B440)=0,"",Biometria!B440)</f>
        <v/>
      </c>
      <c r="C430" s="62" t="str">
        <f>IF(Biometria!C440=0,"",Biometria!C440)</f>
        <v/>
      </c>
      <c r="D430" s="62" t="str">
        <f>IF(Biometria!D440=0,"",Biometria!D440)</f>
        <v/>
      </c>
      <c r="E430" s="62" t="str">
        <f>IF(Biometria!E440=0,"",Biometria!E440)</f>
        <v/>
      </c>
      <c r="F430" s="62" t="str">
        <f>IF(Biometria!F440=0,"",Biometria!F440)</f>
        <v/>
      </c>
      <c r="G430" s="62" t="str">
        <f>IF(Biometria!G440=0,"",Biometria!G440)</f>
        <v/>
      </c>
      <c r="H430" s="62" t="str">
        <f>IF(Biometria!H440=0,"",Biometria!H440)</f>
        <v/>
      </c>
      <c r="I430" s="62" t="str">
        <f>IF(Biometria!I440=0,"",Biometria!I440)</f>
        <v/>
      </c>
      <c r="J430" s="62" t="str">
        <f>IF(Biometria!J440=0,"",Biometria!J440)</f>
        <v/>
      </c>
      <c r="K430" s="62" t="str">
        <f>IF(Biometria!K440=0,"",Biometria!K440)</f>
        <v/>
      </c>
    </row>
    <row r="431" spans="1:11" x14ac:dyDescent="0.25">
      <c r="A431" s="62" t="str">
        <f>IF(LEN(B430)&gt;0,Biometria!A441,"")</f>
        <v/>
      </c>
      <c r="B431" s="62" t="str">
        <f>IF(LEN(Biometria!B441)=0,"",Biometria!B441)</f>
        <v/>
      </c>
      <c r="C431" s="62" t="str">
        <f>IF(Biometria!C441=0,"",Biometria!C441)</f>
        <v/>
      </c>
      <c r="D431" s="62" t="str">
        <f>IF(Biometria!D441=0,"",Biometria!D441)</f>
        <v/>
      </c>
      <c r="E431" s="62" t="str">
        <f>IF(Biometria!E441=0,"",Biometria!E441)</f>
        <v/>
      </c>
      <c r="F431" s="62" t="str">
        <f>IF(Biometria!F441=0,"",Biometria!F441)</f>
        <v/>
      </c>
      <c r="G431" s="62" t="str">
        <f>IF(Biometria!G441=0,"",Biometria!G441)</f>
        <v/>
      </c>
      <c r="H431" s="62" t="str">
        <f>IF(Biometria!H441=0,"",Biometria!H441)</f>
        <v/>
      </c>
      <c r="I431" s="62" t="str">
        <f>IF(Biometria!I441=0,"",Biometria!I441)</f>
        <v/>
      </c>
      <c r="J431" s="62" t="str">
        <f>IF(Biometria!J441=0,"",Biometria!J441)</f>
        <v/>
      </c>
      <c r="K431" s="62" t="str">
        <f>IF(Biometria!K441=0,"",Biometria!K441)</f>
        <v/>
      </c>
    </row>
    <row r="432" spans="1:11" x14ac:dyDescent="0.25">
      <c r="A432" s="62" t="str">
        <f>IF(LEN(B431)&gt;0,Biometria!A442,"")</f>
        <v/>
      </c>
      <c r="B432" s="62" t="str">
        <f>IF(LEN(Biometria!B442)=0,"",Biometria!B442)</f>
        <v/>
      </c>
      <c r="C432" s="62" t="str">
        <f>IF(Biometria!C442=0,"",Biometria!C442)</f>
        <v/>
      </c>
      <c r="D432" s="62" t="str">
        <f>IF(Biometria!D442=0,"",Biometria!D442)</f>
        <v/>
      </c>
      <c r="E432" s="62" t="str">
        <f>IF(Biometria!E442=0,"",Biometria!E442)</f>
        <v/>
      </c>
      <c r="F432" s="62" t="str">
        <f>IF(Biometria!F442=0,"",Biometria!F442)</f>
        <v/>
      </c>
      <c r="G432" s="62" t="str">
        <f>IF(Biometria!G442=0,"",Biometria!G442)</f>
        <v/>
      </c>
      <c r="H432" s="62" t="str">
        <f>IF(Biometria!H442=0,"",Biometria!H442)</f>
        <v/>
      </c>
      <c r="I432" s="62" t="str">
        <f>IF(Biometria!I442=0,"",Biometria!I442)</f>
        <v/>
      </c>
      <c r="J432" s="62" t="str">
        <f>IF(Biometria!J442=0,"",Biometria!J442)</f>
        <v/>
      </c>
      <c r="K432" s="62" t="str">
        <f>IF(Biometria!K442=0,"",Biometria!K442)</f>
        <v/>
      </c>
    </row>
    <row r="433" spans="1:11" x14ac:dyDescent="0.25">
      <c r="A433" s="62" t="str">
        <f>IF(LEN(B432)&gt;0,Biometria!A443,"")</f>
        <v/>
      </c>
      <c r="B433" s="62" t="str">
        <f>IF(LEN(Biometria!B443)=0,"",Biometria!B443)</f>
        <v/>
      </c>
      <c r="C433" s="62" t="str">
        <f>IF(Biometria!C443=0,"",Biometria!C443)</f>
        <v/>
      </c>
      <c r="D433" s="62" t="str">
        <f>IF(Biometria!D443=0,"",Biometria!D443)</f>
        <v/>
      </c>
      <c r="E433" s="62" t="str">
        <f>IF(Biometria!E443=0,"",Biometria!E443)</f>
        <v/>
      </c>
      <c r="F433" s="62" t="str">
        <f>IF(Biometria!F443=0,"",Biometria!F443)</f>
        <v/>
      </c>
      <c r="G433" s="62" t="str">
        <f>IF(Biometria!G443=0,"",Biometria!G443)</f>
        <v/>
      </c>
      <c r="H433" s="62" t="str">
        <f>IF(Biometria!H443=0,"",Biometria!H443)</f>
        <v/>
      </c>
      <c r="I433" s="62" t="str">
        <f>IF(Biometria!I443=0,"",Biometria!I443)</f>
        <v/>
      </c>
      <c r="J433" s="62" t="str">
        <f>IF(Biometria!J443=0,"",Biometria!J443)</f>
        <v/>
      </c>
      <c r="K433" s="62" t="str">
        <f>IF(Biometria!K443=0,"",Biometria!K443)</f>
        <v/>
      </c>
    </row>
    <row r="434" spans="1:11" x14ac:dyDescent="0.25">
      <c r="A434" s="62" t="str">
        <f>IF(LEN(B433)&gt;0,Biometria!A444,"")</f>
        <v/>
      </c>
      <c r="B434" s="62" t="str">
        <f>IF(LEN(Biometria!B444)=0,"",Biometria!B444)</f>
        <v/>
      </c>
      <c r="C434" s="62" t="str">
        <f>IF(Biometria!C444=0,"",Biometria!C444)</f>
        <v/>
      </c>
      <c r="D434" s="62" t="str">
        <f>IF(Biometria!D444=0,"",Biometria!D444)</f>
        <v/>
      </c>
      <c r="E434" s="62" t="str">
        <f>IF(Biometria!E444=0,"",Biometria!E444)</f>
        <v/>
      </c>
      <c r="F434" s="62" t="str">
        <f>IF(Biometria!F444=0,"",Biometria!F444)</f>
        <v/>
      </c>
      <c r="G434" s="62" t="str">
        <f>IF(Biometria!G444=0,"",Biometria!G444)</f>
        <v/>
      </c>
      <c r="H434" s="62" t="str">
        <f>IF(Biometria!H444=0,"",Biometria!H444)</f>
        <v/>
      </c>
      <c r="I434" s="62" t="str">
        <f>IF(Biometria!I444=0,"",Biometria!I444)</f>
        <v/>
      </c>
      <c r="J434" s="62" t="str">
        <f>IF(Biometria!J444=0,"",Biometria!J444)</f>
        <v/>
      </c>
      <c r="K434" s="62" t="str">
        <f>IF(Biometria!K444=0,"",Biometria!K444)</f>
        <v/>
      </c>
    </row>
    <row r="435" spans="1:11" x14ac:dyDescent="0.25">
      <c r="A435" s="62" t="str">
        <f>IF(LEN(B434)&gt;0,Biometria!A445,"")</f>
        <v/>
      </c>
      <c r="B435" s="62" t="str">
        <f>IF(LEN(Biometria!B445)=0,"",Biometria!B445)</f>
        <v/>
      </c>
      <c r="C435" s="62" t="str">
        <f>IF(Biometria!C445=0,"",Biometria!C445)</f>
        <v/>
      </c>
      <c r="D435" s="62" t="str">
        <f>IF(Biometria!D445=0,"",Biometria!D445)</f>
        <v/>
      </c>
      <c r="E435" s="62" t="str">
        <f>IF(Biometria!E445=0,"",Biometria!E445)</f>
        <v/>
      </c>
      <c r="F435" s="62" t="str">
        <f>IF(Biometria!F445=0,"",Biometria!F445)</f>
        <v/>
      </c>
      <c r="G435" s="62" t="str">
        <f>IF(Biometria!G445=0,"",Biometria!G445)</f>
        <v/>
      </c>
      <c r="H435" s="62" t="str">
        <f>IF(Biometria!H445=0,"",Biometria!H445)</f>
        <v/>
      </c>
      <c r="I435" s="62" t="str">
        <f>IF(Biometria!I445=0,"",Biometria!I445)</f>
        <v/>
      </c>
      <c r="J435" s="62" t="str">
        <f>IF(Biometria!J445=0,"",Biometria!J445)</f>
        <v/>
      </c>
      <c r="K435" s="62" t="str">
        <f>IF(Biometria!K445=0,"",Biometria!K445)</f>
        <v/>
      </c>
    </row>
    <row r="436" spans="1:11" x14ac:dyDescent="0.25">
      <c r="A436" s="62" t="str">
        <f>IF(LEN(B435)&gt;0,Biometria!A446,"")</f>
        <v/>
      </c>
      <c r="B436" s="62" t="str">
        <f>IF(LEN(Biometria!B446)=0,"",Biometria!B446)</f>
        <v/>
      </c>
      <c r="C436" s="62" t="str">
        <f>IF(Biometria!C446=0,"",Biometria!C446)</f>
        <v/>
      </c>
      <c r="D436" s="62" t="str">
        <f>IF(Biometria!D446=0,"",Biometria!D446)</f>
        <v/>
      </c>
      <c r="E436" s="62" t="str">
        <f>IF(Biometria!E446=0,"",Biometria!E446)</f>
        <v/>
      </c>
      <c r="F436" s="62" t="str">
        <f>IF(Biometria!F446=0,"",Biometria!F446)</f>
        <v/>
      </c>
      <c r="G436" s="62" t="str">
        <f>IF(Biometria!G446=0,"",Biometria!G446)</f>
        <v/>
      </c>
      <c r="H436" s="62" t="str">
        <f>IF(Biometria!H446=0,"",Biometria!H446)</f>
        <v/>
      </c>
      <c r="I436" s="62" t="str">
        <f>IF(Biometria!I446=0,"",Biometria!I446)</f>
        <v/>
      </c>
      <c r="J436" s="62" t="str">
        <f>IF(Biometria!J446=0,"",Biometria!J446)</f>
        <v/>
      </c>
      <c r="K436" s="62" t="str">
        <f>IF(Biometria!K446=0,"",Biometria!K446)</f>
        <v/>
      </c>
    </row>
    <row r="437" spans="1:11" x14ac:dyDescent="0.25">
      <c r="A437" s="62" t="str">
        <f>IF(LEN(B436)&gt;0,Biometria!A447,"")</f>
        <v/>
      </c>
      <c r="B437" s="62" t="str">
        <f>IF(LEN(Biometria!B447)=0,"",Biometria!B447)</f>
        <v/>
      </c>
      <c r="C437" s="62" t="str">
        <f>IF(Biometria!C447=0,"",Biometria!C447)</f>
        <v/>
      </c>
      <c r="D437" s="62" t="str">
        <f>IF(Biometria!D447=0,"",Biometria!D447)</f>
        <v/>
      </c>
      <c r="E437" s="62" t="str">
        <f>IF(Biometria!E447=0,"",Biometria!E447)</f>
        <v/>
      </c>
      <c r="F437" s="62" t="str">
        <f>IF(Biometria!F447=0,"",Biometria!F447)</f>
        <v/>
      </c>
      <c r="G437" s="62" t="str">
        <f>IF(Biometria!G447=0,"",Biometria!G447)</f>
        <v/>
      </c>
      <c r="H437" s="62" t="str">
        <f>IF(Biometria!H447=0,"",Biometria!H447)</f>
        <v/>
      </c>
      <c r="I437" s="62" t="str">
        <f>IF(Biometria!I447=0,"",Biometria!I447)</f>
        <v/>
      </c>
      <c r="J437" s="62" t="str">
        <f>IF(Biometria!J447=0,"",Biometria!J447)</f>
        <v/>
      </c>
      <c r="K437" s="62" t="str">
        <f>IF(Biometria!K447=0,"",Biometria!K447)</f>
        <v/>
      </c>
    </row>
    <row r="438" spans="1:11" x14ac:dyDescent="0.25">
      <c r="A438" s="62" t="str">
        <f>IF(LEN(B437)&gt;0,Biometria!A448,"")</f>
        <v/>
      </c>
      <c r="B438" s="62" t="str">
        <f>IF(LEN(Biometria!B448)=0,"",Biometria!B448)</f>
        <v/>
      </c>
      <c r="C438" s="62" t="str">
        <f>IF(Biometria!C448=0,"",Biometria!C448)</f>
        <v/>
      </c>
      <c r="D438" s="62" t="str">
        <f>IF(Biometria!D448=0,"",Biometria!D448)</f>
        <v/>
      </c>
      <c r="E438" s="62" t="str">
        <f>IF(Biometria!E448=0,"",Biometria!E448)</f>
        <v/>
      </c>
      <c r="F438" s="62" t="str">
        <f>IF(Biometria!F448=0,"",Biometria!F448)</f>
        <v/>
      </c>
      <c r="G438" s="62" t="str">
        <f>IF(Biometria!G448=0,"",Biometria!G448)</f>
        <v/>
      </c>
      <c r="H438" s="62" t="str">
        <f>IF(Biometria!H448=0,"",Biometria!H448)</f>
        <v/>
      </c>
      <c r="I438" s="62" t="str">
        <f>IF(Biometria!I448=0,"",Biometria!I448)</f>
        <v/>
      </c>
      <c r="J438" s="62" t="str">
        <f>IF(Biometria!J448=0,"",Biometria!J448)</f>
        <v/>
      </c>
      <c r="K438" s="62" t="str">
        <f>IF(Biometria!K448=0,"",Biometria!K448)</f>
        <v/>
      </c>
    </row>
    <row r="439" spans="1:11" x14ac:dyDescent="0.25">
      <c r="A439" s="62" t="str">
        <f>IF(LEN(B438)&gt;0,Biometria!A449,"")</f>
        <v/>
      </c>
      <c r="B439" s="62" t="str">
        <f>IF(LEN(Biometria!B449)=0,"",Biometria!B449)</f>
        <v/>
      </c>
      <c r="C439" s="62" t="str">
        <f>IF(Biometria!C449=0,"",Biometria!C449)</f>
        <v/>
      </c>
      <c r="D439" s="62" t="str">
        <f>IF(Biometria!D449=0,"",Biometria!D449)</f>
        <v/>
      </c>
      <c r="E439" s="62" t="str">
        <f>IF(Biometria!E449=0,"",Biometria!E449)</f>
        <v/>
      </c>
      <c r="F439" s="62" t="str">
        <f>IF(Biometria!F449=0,"",Biometria!F449)</f>
        <v/>
      </c>
      <c r="G439" s="62" t="str">
        <f>IF(Biometria!G449=0,"",Biometria!G449)</f>
        <v/>
      </c>
      <c r="H439" s="62" t="str">
        <f>IF(Biometria!H449=0,"",Biometria!H449)</f>
        <v/>
      </c>
      <c r="I439" s="62" t="str">
        <f>IF(Biometria!I449=0,"",Biometria!I449)</f>
        <v/>
      </c>
      <c r="J439" s="62" t="str">
        <f>IF(Biometria!J449=0,"",Biometria!J449)</f>
        <v/>
      </c>
      <c r="K439" s="62" t="str">
        <f>IF(Biometria!K449=0,"",Biometria!K449)</f>
        <v/>
      </c>
    </row>
    <row r="440" spans="1:11" x14ac:dyDescent="0.25">
      <c r="A440" s="62" t="str">
        <f>IF(LEN(B439)&gt;0,Biometria!A450,"")</f>
        <v/>
      </c>
      <c r="B440" s="62" t="str">
        <f>IF(LEN(Biometria!B450)=0,"",Biometria!B450)</f>
        <v/>
      </c>
      <c r="C440" s="62" t="str">
        <f>IF(Biometria!C450=0,"",Biometria!C450)</f>
        <v/>
      </c>
      <c r="D440" s="62" t="str">
        <f>IF(Biometria!D450=0,"",Biometria!D450)</f>
        <v/>
      </c>
      <c r="E440" s="62" t="str">
        <f>IF(Biometria!E450=0,"",Biometria!E450)</f>
        <v/>
      </c>
      <c r="F440" s="62" t="str">
        <f>IF(Biometria!F450=0,"",Biometria!F450)</f>
        <v/>
      </c>
      <c r="G440" s="62" t="str">
        <f>IF(Biometria!G450=0,"",Biometria!G450)</f>
        <v/>
      </c>
      <c r="H440" s="62" t="str">
        <f>IF(Biometria!H450=0,"",Biometria!H450)</f>
        <v/>
      </c>
      <c r="I440" s="62" t="str">
        <f>IF(Biometria!I450=0,"",Biometria!I450)</f>
        <v/>
      </c>
      <c r="J440" s="62" t="str">
        <f>IF(Biometria!J450=0,"",Biometria!J450)</f>
        <v/>
      </c>
      <c r="K440" s="62" t="str">
        <f>IF(Biometria!K450=0,"",Biometria!K450)</f>
        <v/>
      </c>
    </row>
    <row r="441" spans="1:11" x14ac:dyDescent="0.25">
      <c r="A441" s="62" t="str">
        <f>IF(LEN(B440)&gt;0,Biometria!A451,"")</f>
        <v/>
      </c>
      <c r="B441" s="62" t="str">
        <f>IF(LEN(Biometria!B451)=0,"",Biometria!B451)</f>
        <v/>
      </c>
      <c r="C441" s="62" t="str">
        <f>IF(Biometria!C451=0,"",Biometria!C451)</f>
        <v/>
      </c>
      <c r="D441" s="62" t="str">
        <f>IF(Biometria!D451=0,"",Biometria!D451)</f>
        <v/>
      </c>
      <c r="E441" s="62" t="str">
        <f>IF(Biometria!E451=0,"",Biometria!E451)</f>
        <v/>
      </c>
      <c r="F441" s="62" t="str">
        <f>IF(Biometria!F451=0,"",Biometria!F451)</f>
        <v/>
      </c>
      <c r="G441" s="62" t="str">
        <f>IF(Biometria!G451=0,"",Biometria!G451)</f>
        <v/>
      </c>
      <c r="H441" s="62" t="str">
        <f>IF(Biometria!H451=0,"",Biometria!H451)</f>
        <v/>
      </c>
      <c r="I441" s="62" t="str">
        <f>IF(Biometria!I451=0,"",Biometria!I451)</f>
        <v/>
      </c>
      <c r="J441" s="62" t="str">
        <f>IF(Biometria!J451=0,"",Biometria!J451)</f>
        <v/>
      </c>
      <c r="K441" s="62" t="str">
        <f>IF(Biometria!K451=0,"",Biometria!K451)</f>
        <v/>
      </c>
    </row>
    <row r="442" spans="1:11" x14ac:dyDescent="0.25">
      <c r="A442" s="62" t="str">
        <f>IF(LEN(B441)&gt;0,Biometria!A452,"")</f>
        <v/>
      </c>
      <c r="B442" s="62" t="str">
        <f>IF(LEN(Biometria!B452)=0,"",Biometria!B452)</f>
        <v/>
      </c>
      <c r="C442" s="62" t="str">
        <f>IF(Biometria!C452=0,"",Biometria!C452)</f>
        <v/>
      </c>
      <c r="D442" s="62" t="str">
        <f>IF(Biometria!D452=0,"",Biometria!D452)</f>
        <v/>
      </c>
      <c r="E442" s="62" t="str">
        <f>IF(Biometria!E452=0,"",Biometria!E452)</f>
        <v/>
      </c>
      <c r="F442" s="62" t="str">
        <f>IF(Biometria!F452=0,"",Biometria!F452)</f>
        <v/>
      </c>
      <c r="G442" s="62" t="str">
        <f>IF(Biometria!G452=0,"",Biometria!G452)</f>
        <v/>
      </c>
      <c r="H442" s="62" t="str">
        <f>IF(Biometria!H452=0,"",Biometria!H452)</f>
        <v/>
      </c>
      <c r="I442" s="62" t="str">
        <f>IF(Biometria!I452=0,"",Biometria!I452)</f>
        <v/>
      </c>
      <c r="J442" s="62" t="str">
        <f>IF(Biometria!J452=0,"",Biometria!J452)</f>
        <v/>
      </c>
      <c r="K442" s="62" t="str">
        <f>IF(Biometria!K452=0,"",Biometria!K452)</f>
        <v/>
      </c>
    </row>
    <row r="443" spans="1:11" x14ac:dyDescent="0.25">
      <c r="A443" s="62" t="str">
        <f>IF(LEN(B442)&gt;0,Biometria!A453,"")</f>
        <v/>
      </c>
      <c r="B443" s="62" t="str">
        <f>IF(LEN(Biometria!B453)=0,"",Biometria!B453)</f>
        <v/>
      </c>
      <c r="C443" s="62" t="str">
        <f>IF(Biometria!C453=0,"",Biometria!C453)</f>
        <v/>
      </c>
      <c r="D443" s="62" t="str">
        <f>IF(Biometria!D453=0,"",Biometria!D453)</f>
        <v/>
      </c>
      <c r="E443" s="62" t="str">
        <f>IF(Biometria!E453=0,"",Biometria!E453)</f>
        <v/>
      </c>
      <c r="F443" s="62" t="str">
        <f>IF(Biometria!F453=0,"",Biometria!F453)</f>
        <v/>
      </c>
      <c r="G443" s="62" t="str">
        <f>IF(Biometria!G453=0,"",Biometria!G453)</f>
        <v/>
      </c>
      <c r="H443" s="62" t="str">
        <f>IF(Biometria!H453=0,"",Biometria!H453)</f>
        <v/>
      </c>
      <c r="I443" s="62" t="str">
        <f>IF(Biometria!I453=0,"",Biometria!I453)</f>
        <v/>
      </c>
      <c r="J443" s="62" t="str">
        <f>IF(Biometria!J453=0,"",Biometria!J453)</f>
        <v/>
      </c>
      <c r="K443" s="62" t="str">
        <f>IF(Biometria!K453=0,"",Biometria!K453)</f>
        <v/>
      </c>
    </row>
    <row r="444" spans="1:11" x14ac:dyDescent="0.25">
      <c r="A444" s="62" t="str">
        <f>IF(LEN(B443)&gt;0,Biometria!A454,"")</f>
        <v/>
      </c>
      <c r="B444" s="62" t="str">
        <f>IF(LEN(Biometria!B454)=0,"",Biometria!B454)</f>
        <v/>
      </c>
      <c r="C444" s="62" t="str">
        <f>IF(Biometria!C454=0,"",Biometria!C454)</f>
        <v/>
      </c>
      <c r="D444" s="62" t="str">
        <f>IF(Biometria!D454=0,"",Biometria!D454)</f>
        <v/>
      </c>
      <c r="E444" s="62" t="str">
        <f>IF(Biometria!E454=0,"",Biometria!E454)</f>
        <v/>
      </c>
      <c r="F444" s="62" t="str">
        <f>IF(Biometria!F454=0,"",Biometria!F454)</f>
        <v/>
      </c>
      <c r="G444" s="62" t="str">
        <f>IF(Biometria!G454=0,"",Biometria!G454)</f>
        <v/>
      </c>
      <c r="H444" s="62" t="str">
        <f>IF(Biometria!H454=0,"",Biometria!H454)</f>
        <v/>
      </c>
      <c r="I444" s="62" t="str">
        <f>IF(Biometria!I454=0,"",Biometria!I454)</f>
        <v/>
      </c>
      <c r="J444" s="62" t="str">
        <f>IF(Biometria!J454=0,"",Biometria!J454)</f>
        <v/>
      </c>
      <c r="K444" s="62" t="str">
        <f>IF(Biometria!K454=0,"",Biometria!K454)</f>
        <v/>
      </c>
    </row>
    <row r="445" spans="1:11" x14ac:dyDescent="0.25">
      <c r="A445" s="62" t="str">
        <f>IF(LEN(B444)&gt;0,Biometria!A455,"")</f>
        <v/>
      </c>
      <c r="B445" s="62" t="str">
        <f>IF(LEN(Biometria!B455)=0,"",Biometria!B455)</f>
        <v/>
      </c>
      <c r="C445" s="62" t="str">
        <f>IF(Biometria!C455=0,"",Biometria!C455)</f>
        <v/>
      </c>
      <c r="D445" s="62" t="str">
        <f>IF(Biometria!D455=0,"",Biometria!D455)</f>
        <v/>
      </c>
      <c r="E445" s="62" t="str">
        <f>IF(Biometria!E455=0,"",Biometria!E455)</f>
        <v/>
      </c>
      <c r="F445" s="62" t="str">
        <f>IF(Biometria!F455=0,"",Biometria!F455)</f>
        <v/>
      </c>
      <c r="G445" s="62" t="str">
        <f>IF(Biometria!G455=0,"",Biometria!G455)</f>
        <v/>
      </c>
      <c r="H445" s="62" t="str">
        <f>IF(Biometria!H455=0,"",Biometria!H455)</f>
        <v/>
      </c>
      <c r="I445" s="62" t="str">
        <f>IF(Biometria!I455=0,"",Biometria!I455)</f>
        <v/>
      </c>
      <c r="J445" s="62" t="str">
        <f>IF(Biometria!J455=0,"",Biometria!J455)</f>
        <v/>
      </c>
      <c r="K445" s="62" t="str">
        <f>IF(Biometria!K455=0,"",Biometria!K455)</f>
        <v/>
      </c>
    </row>
    <row r="446" spans="1:11" x14ac:dyDescent="0.25">
      <c r="A446" s="62" t="str">
        <f>IF(LEN(B445)&gt;0,Biometria!A456,"")</f>
        <v/>
      </c>
      <c r="B446" s="62" t="str">
        <f>IF(LEN(Biometria!B456)=0,"",Biometria!B456)</f>
        <v/>
      </c>
      <c r="C446" s="62" t="str">
        <f>IF(Biometria!C456=0,"",Biometria!C456)</f>
        <v/>
      </c>
      <c r="D446" s="62" t="str">
        <f>IF(Biometria!D456=0,"",Biometria!D456)</f>
        <v/>
      </c>
      <c r="E446" s="62" t="str">
        <f>IF(Biometria!E456=0,"",Biometria!E456)</f>
        <v/>
      </c>
      <c r="F446" s="62" t="str">
        <f>IF(Biometria!F456=0,"",Biometria!F456)</f>
        <v/>
      </c>
      <c r="G446" s="62" t="str">
        <f>IF(Biometria!G456=0,"",Biometria!G456)</f>
        <v/>
      </c>
      <c r="H446" s="62" t="str">
        <f>IF(Biometria!H456=0,"",Biometria!H456)</f>
        <v/>
      </c>
      <c r="I446" s="62" t="str">
        <f>IF(Biometria!I456=0,"",Biometria!I456)</f>
        <v/>
      </c>
      <c r="J446" s="62" t="str">
        <f>IF(Biometria!J456=0,"",Biometria!J456)</f>
        <v/>
      </c>
      <c r="K446" s="62" t="str">
        <f>IF(Biometria!K456=0,"",Biometria!K456)</f>
        <v/>
      </c>
    </row>
    <row r="447" spans="1:11" x14ac:dyDescent="0.25">
      <c r="A447" s="62" t="str">
        <f>IF(LEN(B446)&gt;0,Biometria!A457,"")</f>
        <v/>
      </c>
      <c r="B447" s="62" t="str">
        <f>IF(LEN(Biometria!B457)=0,"",Biometria!B457)</f>
        <v/>
      </c>
      <c r="C447" s="62" t="str">
        <f>IF(Biometria!C457=0,"",Biometria!C457)</f>
        <v/>
      </c>
      <c r="D447" s="62" t="str">
        <f>IF(Biometria!D457=0,"",Biometria!D457)</f>
        <v/>
      </c>
      <c r="E447" s="62" t="str">
        <f>IF(Biometria!E457=0,"",Biometria!E457)</f>
        <v/>
      </c>
      <c r="F447" s="62" t="str">
        <f>IF(Biometria!F457=0,"",Biometria!F457)</f>
        <v/>
      </c>
      <c r="G447" s="62" t="str">
        <f>IF(Biometria!G457=0,"",Biometria!G457)</f>
        <v/>
      </c>
      <c r="H447" s="62" t="str">
        <f>IF(Biometria!H457=0,"",Biometria!H457)</f>
        <v/>
      </c>
      <c r="I447" s="62" t="str">
        <f>IF(Biometria!I457=0,"",Biometria!I457)</f>
        <v/>
      </c>
      <c r="J447" s="62" t="str">
        <f>IF(Biometria!J457=0,"",Biometria!J457)</f>
        <v/>
      </c>
      <c r="K447" s="62" t="str">
        <f>IF(Biometria!K457=0,"",Biometria!K457)</f>
        <v/>
      </c>
    </row>
    <row r="448" spans="1:11" x14ac:dyDescent="0.25">
      <c r="A448" s="62" t="str">
        <f>IF(LEN(B447)&gt;0,Biometria!A458,"")</f>
        <v/>
      </c>
      <c r="B448" s="62" t="str">
        <f>IF(LEN(Biometria!B458)=0,"",Biometria!B458)</f>
        <v/>
      </c>
      <c r="C448" s="62" t="str">
        <f>IF(Biometria!C458=0,"",Biometria!C458)</f>
        <v/>
      </c>
      <c r="D448" s="62" t="str">
        <f>IF(Biometria!D458=0,"",Biometria!D458)</f>
        <v/>
      </c>
      <c r="E448" s="62" t="str">
        <f>IF(Biometria!E458=0,"",Biometria!E458)</f>
        <v/>
      </c>
      <c r="F448" s="62" t="str">
        <f>IF(Biometria!F458=0,"",Biometria!F458)</f>
        <v/>
      </c>
      <c r="G448" s="62" t="str">
        <f>IF(Biometria!G458=0,"",Biometria!G458)</f>
        <v/>
      </c>
      <c r="H448" s="62" t="str">
        <f>IF(Biometria!H458=0,"",Biometria!H458)</f>
        <v/>
      </c>
      <c r="I448" s="62" t="str">
        <f>IF(Biometria!I458=0,"",Biometria!I458)</f>
        <v/>
      </c>
      <c r="J448" s="62" t="str">
        <f>IF(Biometria!J458=0,"",Biometria!J458)</f>
        <v/>
      </c>
      <c r="K448" s="62" t="str">
        <f>IF(Biometria!K458=0,"",Biometria!K458)</f>
        <v/>
      </c>
    </row>
    <row r="449" spans="1:11" x14ac:dyDescent="0.25">
      <c r="A449" s="62" t="str">
        <f>IF(LEN(B448)&gt;0,Biometria!A459,"")</f>
        <v/>
      </c>
      <c r="B449" s="62" t="str">
        <f>IF(LEN(Biometria!B459)=0,"",Biometria!B459)</f>
        <v/>
      </c>
      <c r="C449" s="62" t="str">
        <f>IF(Biometria!C459=0,"",Biometria!C459)</f>
        <v/>
      </c>
      <c r="D449" s="62" t="str">
        <f>IF(Biometria!D459=0,"",Biometria!D459)</f>
        <v/>
      </c>
      <c r="E449" s="62" t="str">
        <f>IF(Biometria!E459=0,"",Biometria!E459)</f>
        <v/>
      </c>
      <c r="F449" s="62" t="str">
        <f>IF(Biometria!F459=0,"",Biometria!F459)</f>
        <v/>
      </c>
      <c r="G449" s="62" t="str">
        <f>IF(Biometria!G459=0,"",Biometria!G459)</f>
        <v/>
      </c>
      <c r="H449" s="62" t="str">
        <f>IF(Biometria!H459=0,"",Biometria!H459)</f>
        <v/>
      </c>
      <c r="I449" s="62" t="str">
        <f>IF(Biometria!I459=0,"",Biometria!I459)</f>
        <v/>
      </c>
      <c r="J449" s="62" t="str">
        <f>IF(Biometria!J459=0,"",Biometria!J459)</f>
        <v/>
      </c>
      <c r="K449" s="62" t="str">
        <f>IF(Biometria!K459=0,"",Biometria!K459)</f>
        <v/>
      </c>
    </row>
    <row r="450" spans="1:11" x14ac:dyDescent="0.25">
      <c r="A450" s="62" t="str">
        <f>IF(LEN(B449)&gt;0,Biometria!A460,"")</f>
        <v/>
      </c>
      <c r="B450" s="62" t="str">
        <f>IF(LEN(Biometria!B460)=0,"",Biometria!B460)</f>
        <v/>
      </c>
      <c r="C450" s="62" t="str">
        <f>IF(Biometria!C460=0,"",Biometria!C460)</f>
        <v/>
      </c>
      <c r="D450" s="62" t="str">
        <f>IF(Biometria!D460=0,"",Biometria!D460)</f>
        <v/>
      </c>
      <c r="E450" s="62" t="str">
        <f>IF(Biometria!E460=0,"",Biometria!E460)</f>
        <v/>
      </c>
      <c r="F450" s="62" t="str">
        <f>IF(Biometria!F460=0,"",Biometria!F460)</f>
        <v/>
      </c>
      <c r="G450" s="62" t="str">
        <f>IF(Biometria!G460=0,"",Biometria!G460)</f>
        <v/>
      </c>
      <c r="H450" s="62" t="str">
        <f>IF(Biometria!H460=0,"",Biometria!H460)</f>
        <v/>
      </c>
      <c r="I450" s="62" t="str">
        <f>IF(Biometria!I460=0,"",Biometria!I460)</f>
        <v/>
      </c>
      <c r="J450" s="62" t="str">
        <f>IF(Biometria!J460=0,"",Biometria!J460)</f>
        <v/>
      </c>
      <c r="K450" s="62" t="str">
        <f>IF(Biometria!K460=0,"",Biometria!K460)</f>
        <v/>
      </c>
    </row>
    <row r="451" spans="1:11" x14ac:dyDescent="0.25">
      <c r="A451" s="62" t="str">
        <f>IF(LEN(B450)&gt;0,Biometria!A461,"")</f>
        <v/>
      </c>
      <c r="B451" s="62" t="str">
        <f>IF(LEN(Biometria!B461)=0,"",Biometria!B461)</f>
        <v/>
      </c>
      <c r="C451" s="62" t="str">
        <f>IF(Biometria!C461=0,"",Biometria!C461)</f>
        <v/>
      </c>
      <c r="D451" s="62" t="str">
        <f>IF(Biometria!D461=0,"",Biometria!D461)</f>
        <v/>
      </c>
      <c r="E451" s="62" t="str">
        <f>IF(Biometria!E461=0,"",Biometria!E461)</f>
        <v/>
      </c>
      <c r="F451" s="62" t="str">
        <f>IF(Biometria!F461=0,"",Biometria!F461)</f>
        <v/>
      </c>
      <c r="G451" s="62" t="str">
        <f>IF(Biometria!G461=0,"",Biometria!G461)</f>
        <v/>
      </c>
      <c r="H451" s="62" t="str">
        <f>IF(Biometria!H461=0,"",Biometria!H461)</f>
        <v/>
      </c>
      <c r="I451" s="62" t="str">
        <f>IF(Biometria!I461=0,"",Biometria!I461)</f>
        <v/>
      </c>
      <c r="J451" s="62" t="str">
        <f>IF(Biometria!J461=0,"",Biometria!J461)</f>
        <v/>
      </c>
      <c r="K451" s="62" t="str">
        <f>IF(Biometria!K461=0,"",Biometria!K461)</f>
        <v/>
      </c>
    </row>
    <row r="452" spans="1:11" x14ac:dyDescent="0.25">
      <c r="A452" s="62" t="str">
        <f>IF(LEN(B451)&gt;0,Biometria!A462,"")</f>
        <v/>
      </c>
      <c r="B452" s="62" t="str">
        <f>IF(LEN(Biometria!B462)=0,"",Biometria!B462)</f>
        <v/>
      </c>
      <c r="C452" s="62" t="str">
        <f>IF(Biometria!C462=0,"",Biometria!C462)</f>
        <v/>
      </c>
      <c r="D452" s="62" t="str">
        <f>IF(Biometria!D462=0,"",Biometria!D462)</f>
        <v/>
      </c>
      <c r="E452" s="62" t="str">
        <f>IF(Biometria!E462=0,"",Biometria!E462)</f>
        <v/>
      </c>
      <c r="F452" s="62" t="str">
        <f>IF(Biometria!F462=0,"",Biometria!F462)</f>
        <v/>
      </c>
      <c r="G452" s="62" t="str">
        <f>IF(Biometria!G462=0,"",Biometria!G462)</f>
        <v/>
      </c>
      <c r="H452" s="62" t="str">
        <f>IF(Biometria!H462=0,"",Biometria!H462)</f>
        <v/>
      </c>
      <c r="I452" s="62" t="str">
        <f>IF(Biometria!I462=0,"",Biometria!I462)</f>
        <v/>
      </c>
      <c r="J452" s="62" t="str">
        <f>IF(Biometria!J462=0,"",Biometria!J462)</f>
        <v/>
      </c>
      <c r="K452" s="62" t="str">
        <f>IF(Biometria!K462=0,"",Biometria!K462)</f>
        <v/>
      </c>
    </row>
    <row r="453" spans="1:11" x14ac:dyDescent="0.25">
      <c r="A453" s="62" t="str">
        <f>IF(LEN(B452)&gt;0,Biometria!A463,"")</f>
        <v/>
      </c>
      <c r="B453" s="62" t="str">
        <f>IF(LEN(Biometria!B463)=0,"",Biometria!B463)</f>
        <v/>
      </c>
      <c r="C453" s="62" t="str">
        <f>IF(Biometria!C463=0,"",Biometria!C463)</f>
        <v/>
      </c>
      <c r="D453" s="62" t="str">
        <f>IF(Biometria!D463=0,"",Biometria!D463)</f>
        <v/>
      </c>
      <c r="E453" s="62" t="str">
        <f>IF(Biometria!E463=0,"",Biometria!E463)</f>
        <v/>
      </c>
      <c r="F453" s="62" t="str">
        <f>IF(Biometria!F463=0,"",Biometria!F463)</f>
        <v/>
      </c>
      <c r="G453" s="62" t="str">
        <f>IF(Biometria!G463=0,"",Biometria!G463)</f>
        <v/>
      </c>
      <c r="H453" s="62" t="str">
        <f>IF(Biometria!H463=0,"",Biometria!H463)</f>
        <v/>
      </c>
      <c r="I453" s="62" t="str">
        <f>IF(Biometria!I463=0,"",Biometria!I463)</f>
        <v/>
      </c>
      <c r="J453" s="62" t="str">
        <f>IF(Biometria!J463=0,"",Biometria!J463)</f>
        <v/>
      </c>
      <c r="K453" s="62" t="str">
        <f>IF(Biometria!K463=0,"",Biometria!K463)</f>
        <v/>
      </c>
    </row>
    <row r="454" spans="1:11" x14ac:dyDescent="0.25">
      <c r="A454" s="62" t="str">
        <f>IF(LEN(B453)&gt;0,Biometria!A464,"")</f>
        <v/>
      </c>
      <c r="B454" s="62" t="str">
        <f>IF(LEN(Biometria!B464)=0,"",Biometria!B464)</f>
        <v/>
      </c>
      <c r="C454" s="62" t="str">
        <f>IF(Biometria!C464=0,"",Biometria!C464)</f>
        <v/>
      </c>
      <c r="D454" s="62" t="str">
        <f>IF(Biometria!D464=0,"",Biometria!D464)</f>
        <v/>
      </c>
      <c r="E454" s="62" t="str">
        <f>IF(Biometria!E464=0,"",Biometria!E464)</f>
        <v/>
      </c>
      <c r="F454" s="62" t="str">
        <f>IF(Biometria!F464=0,"",Biometria!F464)</f>
        <v/>
      </c>
      <c r="G454" s="62" t="str">
        <f>IF(Biometria!G464=0,"",Biometria!G464)</f>
        <v/>
      </c>
      <c r="H454" s="62" t="str">
        <f>IF(Biometria!H464=0,"",Biometria!H464)</f>
        <v/>
      </c>
      <c r="I454" s="62" t="str">
        <f>IF(Biometria!I464=0,"",Biometria!I464)</f>
        <v/>
      </c>
      <c r="J454" s="62" t="str">
        <f>IF(Biometria!J464=0,"",Biometria!J464)</f>
        <v/>
      </c>
      <c r="K454" s="62" t="str">
        <f>IF(Biometria!K464=0,"",Biometria!K464)</f>
        <v/>
      </c>
    </row>
    <row r="455" spans="1:11" x14ac:dyDescent="0.25">
      <c r="A455" s="62" t="str">
        <f>IF(LEN(B454)&gt;0,Biometria!A465,"")</f>
        <v/>
      </c>
      <c r="B455" s="62" t="str">
        <f>IF(LEN(Biometria!B465)=0,"",Biometria!B465)</f>
        <v/>
      </c>
      <c r="C455" s="62" t="str">
        <f>IF(Biometria!C465=0,"",Biometria!C465)</f>
        <v/>
      </c>
      <c r="D455" s="62" t="str">
        <f>IF(Biometria!D465=0,"",Biometria!D465)</f>
        <v/>
      </c>
      <c r="E455" s="62" t="str">
        <f>IF(Biometria!E465=0,"",Biometria!E465)</f>
        <v/>
      </c>
      <c r="F455" s="62" t="str">
        <f>IF(Biometria!F465=0,"",Biometria!F465)</f>
        <v/>
      </c>
      <c r="G455" s="62" t="str">
        <f>IF(Biometria!G465=0,"",Biometria!G465)</f>
        <v/>
      </c>
      <c r="H455" s="62" t="str">
        <f>IF(Biometria!H465=0,"",Biometria!H465)</f>
        <v/>
      </c>
      <c r="I455" s="62" t="str">
        <f>IF(Biometria!I465=0,"",Biometria!I465)</f>
        <v/>
      </c>
      <c r="J455" s="62" t="str">
        <f>IF(Biometria!J465=0,"",Biometria!J465)</f>
        <v/>
      </c>
      <c r="K455" s="62" t="str">
        <f>IF(Biometria!K465=0,"",Biometria!K465)</f>
        <v/>
      </c>
    </row>
    <row r="456" spans="1:11" x14ac:dyDescent="0.25">
      <c r="A456" s="62" t="str">
        <f>IF(LEN(B455)&gt;0,Biometria!A466,"")</f>
        <v/>
      </c>
      <c r="B456" s="62" t="str">
        <f>IF(LEN(Biometria!B466)=0,"",Biometria!B466)</f>
        <v/>
      </c>
      <c r="C456" s="62" t="str">
        <f>IF(Biometria!C466=0,"",Biometria!C466)</f>
        <v/>
      </c>
      <c r="D456" s="62" t="str">
        <f>IF(Biometria!D466=0,"",Biometria!D466)</f>
        <v/>
      </c>
      <c r="E456" s="62" t="str">
        <f>IF(Biometria!E466=0,"",Biometria!E466)</f>
        <v/>
      </c>
      <c r="F456" s="62" t="str">
        <f>IF(Biometria!F466=0,"",Biometria!F466)</f>
        <v/>
      </c>
      <c r="G456" s="62" t="str">
        <f>IF(Biometria!G466=0,"",Biometria!G466)</f>
        <v/>
      </c>
      <c r="H456" s="62" t="str">
        <f>IF(Biometria!H466=0,"",Biometria!H466)</f>
        <v/>
      </c>
      <c r="I456" s="62" t="str">
        <f>IF(Biometria!I466=0,"",Biometria!I466)</f>
        <v/>
      </c>
      <c r="J456" s="62" t="str">
        <f>IF(Biometria!J466=0,"",Biometria!J466)</f>
        <v/>
      </c>
      <c r="K456" s="62" t="str">
        <f>IF(Biometria!K466=0,"",Biometria!K466)</f>
        <v/>
      </c>
    </row>
    <row r="457" spans="1:11" x14ac:dyDescent="0.25">
      <c r="A457" s="62" t="str">
        <f>IF(LEN(B456)&gt;0,Biometria!A467,"")</f>
        <v/>
      </c>
      <c r="B457" s="62" t="str">
        <f>IF(LEN(Biometria!B467)=0,"",Biometria!B467)</f>
        <v/>
      </c>
      <c r="C457" s="62" t="str">
        <f>IF(Biometria!C467=0,"",Biometria!C467)</f>
        <v/>
      </c>
      <c r="D457" s="62" t="str">
        <f>IF(Biometria!D467=0,"",Biometria!D467)</f>
        <v/>
      </c>
      <c r="E457" s="62" t="str">
        <f>IF(Biometria!E467=0,"",Biometria!E467)</f>
        <v/>
      </c>
      <c r="F457" s="62" t="str">
        <f>IF(Biometria!F467=0,"",Biometria!F467)</f>
        <v/>
      </c>
      <c r="G457" s="62" t="str">
        <f>IF(Biometria!G467=0,"",Biometria!G467)</f>
        <v/>
      </c>
      <c r="H457" s="62" t="str">
        <f>IF(Biometria!H467=0,"",Biometria!H467)</f>
        <v/>
      </c>
      <c r="I457" s="62" t="str">
        <f>IF(Biometria!I467=0,"",Biometria!I467)</f>
        <v/>
      </c>
      <c r="J457" s="62" t="str">
        <f>IF(Biometria!J467=0,"",Biometria!J467)</f>
        <v/>
      </c>
      <c r="K457" s="62" t="str">
        <f>IF(Biometria!K467=0,"",Biometria!K467)</f>
        <v/>
      </c>
    </row>
    <row r="458" spans="1:11" x14ac:dyDescent="0.25">
      <c r="A458" s="62" t="str">
        <f>IF(LEN(B457)&gt;0,Biometria!A468,"")</f>
        <v/>
      </c>
      <c r="B458" s="62" t="str">
        <f>IF(LEN(Biometria!B468)=0,"",Biometria!B468)</f>
        <v/>
      </c>
      <c r="C458" s="62" t="str">
        <f>IF(Biometria!C468=0,"",Biometria!C468)</f>
        <v/>
      </c>
      <c r="D458" s="62" t="str">
        <f>IF(Biometria!D468=0,"",Biometria!D468)</f>
        <v/>
      </c>
      <c r="E458" s="62" t="str">
        <f>IF(Biometria!E468=0,"",Biometria!E468)</f>
        <v/>
      </c>
      <c r="F458" s="62" t="str">
        <f>IF(Biometria!F468=0,"",Biometria!F468)</f>
        <v/>
      </c>
      <c r="G458" s="62" t="str">
        <f>IF(Biometria!G468=0,"",Biometria!G468)</f>
        <v/>
      </c>
      <c r="H458" s="62" t="str">
        <f>IF(Biometria!H468=0,"",Biometria!H468)</f>
        <v/>
      </c>
      <c r="I458" s="62" t="str">
        <f>IF(Biometria!I468=0,"",Biometria!I468)</f>
        <v/>
      </c>
      <c r="J458" s="62" t="str">
        <f>IF(Biometria!J468=0,"",Biometria!J468)</f>
        <v/>
      </c>
      <c r="K458" s="62" t="str">
        <f>IF(Biometria!K468=0,"",Biometria!K468)</f>
        <v/>
      </c>
    </row>
    <row r="459" spans="1:11" x14ac:dyDescent="0.25">
      <c r="A459" s="62" t="str">
        <f>IF(LEN(B458)&gt;0,Biometria!A469,"")</f>
        <v/>
      </c>
      <c r="B459" s="62" t="str">
        <f>IF(LEN(Biometria!B469)=0,"",Biometria!B469)</f>
        <v/>
      </c>
      <c r="C459" s="62" t="str">
        <f>IF(Biometria!C469=0,"",Biometria!C469)</f>
        <v/>
      </c>
      <c r="D459" s="62" t="str">
        <f>IF(Biometria!D469=0,"",Biometria!D469)</f>
        <v/>
      </c>
      <c r="E459" s="62" t="str">
        <f>IF(Biometria!E469=0,"",Biometria!E469)</f>
        <v/>
      </c>
      <c r="F459" s="62" t="str">
        <f>IF(Biometria!F469=0,"",Biometria!F469)</f>
        <v/>
      </c>
      <c r="G459" s="62" t="str">
        <f>IF(Biometria!G469=0,"",Biometria!G469)</f>
        <v/>
      </c>
      <c r="H459" s="62" t="str">
        <f>IF(Biometria!H469=0,"",Biometria!H469)</f>
        <v/>
      </c>
      <c r="I459" s="62" t="str">
        <f>IF(Biometria!I469=0,"",Biometria!I469)</f>
        <v/>
      </c>
      <c r="J459" s="62" t="str">
        <f>IF(Biometria!J469=0,"",Biometria!J469)</f>
        <v/>
      </c>
      <c r="K459" s="62" t="str">
        <f>IF(Biometria!K469=0,"",Biometria!K469)</f>
        <v/>
      </c>
    </row>
    <row r="460" spans="1:11" x14ac:dyDescent="0.25">
      <c r="A460" s="62" t="str">
        <f>IF(LEN(B459)&gt;0,Biometria!A470,"")</f>
        <v/>
      </c>
      <c r="B460" s="62" t="str">
        <f>IF(LEN(Biometria!B470)=0,"",Biometria!B470)</f>
        <v/>
      </c>
      <c r="C460" s="62" t="str">
        <f>IF(Biometria!C470=0,"",Biometria!C470)</f>
        <v/>
      </c>
      <c r="D460" s="62" t="str">
        <f>IF(Biometria!D470=0,"",Biometria!D470)</f>
        <v/>
      </c>
      <c r="E460" s="62" t="str">
        <f>IF(Biometria!E470=0,"",Biometria!E470)</f>
        <v/>
      </c>
      <c r="F460" s="62" t="str">
        <f>IF(Biometria!F470=0,"",Biometria!F470)</f>
        <v/>
      </c>
      <c r="G460" s="62" t="str">
        <f>IF(Biometria!G470=0,"",Biometria!G470)</f>
        <v/>
      </c>
      <c r="H460" s="62" t="str">
        <f>IF(Biometria!H470=0,"",Biometria!H470)</f>
        <v/>
      </c>
      <c r="I460" s="62" t="str">
        <f>IF(Biometria!I470=0,"",Biometria!I470)</f>
        <v/>
      </c>
      <c r="J460" s="62" t="str">
        <f>IF(Biometria!J470=0,"",Biometria!J470)</f>
        <v/>
      </c>
      <c r="K460" s="62" t="str">
        <f>IF(Biometria!K470=0,"",Biometria!K470)</f>
        <v/>
      </c>
    </row>
    <row r="461" spans="1:11" x14ac:dyDescent="0.25">
      <c r="A461" s="62" t="str">
        <f>IF(LEN(B460)&gt;0,Biometria!A471,"")</f>
        <v/>
      </c>
      <c r="B461" s="62" t="str">
        <f>IF(LEN(Biometria!B471)=0,"",Biometria!B471)</f>
        <v/>
      </c>
      <c r="C461" s="62" t="str">
        <f>IF(Biometria!C471=0,"",Biometria!C471)</f>
        <v/>
      </c>
      <c r="D461" s="62" t="str">
        <f>IF(Biometria!D471=0,"",Biometria!D471)</f>
        <v/>
      </c>
      <c r="E461" s="62" t="str">
        <f>IF(Biometria!E471=0,"",Biometria!E471)</f>
        <v/>
      </c>
      <c r="F461" s="62" t="str">
        <f>IF(Biometria!F471=0,"",Biometria!F471)</f>
        <v/>
      </c>
      <c r="G461" s="62" t="str">
        <f>IF(Biometria!G471=0,"",Biometria!G471)</f>
        <v/>
      </c>
      <c r="H461" s="62" t="str">
        <f>IF(Biometria!H471=0,"",Biometria!H471)</f>
        <v/>
      </c>
      <c r="I461" s="62" t="str">
        <f>IF(Biometria!I471=0,"",Biometria!I471)</f>
        <v/>
      </c>
      <c r="J461" s="62" t="str">
        <f>IF(Biometria!J471=0,"",Biometria!J471)</f>
        <v/>
      </c>
      <c r="K461" s="62" t="str">
        <f>IF(Biometria!K471=0,"",Biometria!K471)</f>
        <v/>
      </c>
    </row>
    <row r="462" spans="1:11" x14ac:dyDescent="0.25">
      <c r="A462" s="62" t="str">
        <f>IF(LEN(B461)&gt;0,Biometria!A472,"")</f>
        <v/>
      </c>
      <c r="B462" s="62" t="str">
        <f>IF(LEN(Biometria!B472)=0,"",Biometria!B472)</f>
        <v/>
      </c>
      <c r="C462" s="62" t="str">
        <f>IF(Biometria!C472=0,"",Biometria!C472)</f>
        <v/>
      </c>
      <c r="D462" s="62" t="str">
        <f>IF(Biometria!D472=0,"",Biometria!D472)</f>
        <v/>
      </c>
      <c r="E462" s="62" t="str">
        <f>IF(Biometria!E472=0,"",Biometria!E472)</f>
        <v/>
      </c>
      <c r="F462" s="62" t="str">
        <f>IF(Biometria!F472=0,"",Biometria!F472)</f>
        <v/>
      </c>
      <c r="G462" s="62" t="str">
        <f>IF(Biometria!G472=0,"",Biometria!G472)</f>
        <v/>
      </c>
      <c r="H462" s="62" t="str">
        <f>IF(Biometria!H472=0,"",Biometria!H472)</f>
        <v/>
      </c>
      <c r="I462" s="62" t="str">
        <f>IF(Biometria!I472=0,"",Biometria!I472)</f>
        <v/>
      </c>
      <c r="J462" s="62" t="str">
        <f>IF(Biometria!J472=0,"",Biometria!J472)</f>
        <v/>
      </c>
      <c r="K462" s="62" t="str">
        <f>IF(Biometria!K472=0,"",Biometria!K472)</f>
        <v/>
      </c>
    </row>
    <row r="463" spans="1:11" x14ac:dyDescent="0.25">
      <c r="A463" s="62" t="str">
        <f>IF(LEN(B462)&gt;0,Biometria!A473,"")</f>
        <v/>
      </c>
      <c r="B463" s="62" t="str">
        <f>IF(LEN(Biometria!B473)=0,"",Biometria!B473)</f>
        <v/>
      </c>
      <c r="C463" s="62" t="str">
        <f>IF(Biometria!C473=0,"",Biometria!C473)</f>
        <v/>
      </c>
      <c r="D463" s="62" t="str">
        <f>IF(Biometria!D473=0,"",Biometria!D473)</f>
        <v/>
      </c>
      <c r="E463" s="62" t="str">
        <f>IF(Biometria!E473=0,"",Biometria!E473)</f>
        <v/>
      </c>
      <c r="F463" s="62" t="str">
        <f>IF(Biometria!F473=0,"",Biometria!F473)</f>
        <v/>
      </c>
      <c r="G463" s="62" t="str">
        <f>IF(Biometria!G473=0,"",Biometria!G473)</f>
        <v/>
      </c>
      <c r="H463" s="62" t="str">
        <f>IF(Biometria!H473=0,"",Biometria!H473)</f>
        <v/>
      </c>
      <c r="I463" s="62" t="str">
        <f>IF(Biometria!I473=0,"",Biometria!I473)</f>
        <v/>
      </c>
      <c r="J463" s="62" t="str">
        <f>IF(Biometria!J473=0,"",Biometria!J473)</f>
        <v/>
      </c>
      <c r="K463" s="62" t="str">
        <f>IF(Biometria!K473=0,"",Biometria!K473)</f>
        <v/>
      </c>
    </row>
    <row r="464" spans="1:11" x14ac:dyDescent="0.25">
      <c r="A464" s="62" t="str">
        <f>IF(LEN(B463)&gt;0,Biometria!A474,"")</f>
        <v/>
      </c>
      <c r="B464" s="62" t="str">
        <f>IF(LEN(Biometria!B474)=0,"",Biometria!B474)</f>
        <v/>
      </c>
      <c r="C464" s="62" t="str">
        <f>IF(Biometria!C474=0,"",Biometria!C474)</f>
        <v/>
      </c>
      <c r="D464" s="62" t="str">
        <f>IF(Biometria!D474=0,"",Biometria!D474)</f>
        <v/>
      </c>
      <c r="E464" s="62" t="str">
        <f>IF(Biometria!E474=0,"",Biometria!E474)</f>
        <v/>
      </c>
      <c r="F464" s="62" t="str">
        <f>IF(Biometria!F474=0,"",Biometria!F474)</f>
        <v/>
      </c>
      <c r="G464" s="62" t="str">
        <f>IF(Biometria!G474=0,"",Biometria!G474)</f>
        <v/>
      </c>
      <c r="H464" s="62" t="str">
        <f>IF(Biometria!H474=0,"",Biometria!H474)</f>
        <v/>
      </c>
      <c r="I464" s="62" t="str">
        <f>IF(Biometria!I474=0,"",Biometria!I474)</f>
        <v/>
      </c>
      <c r="J464" s="62" t="str">
        <f>IF(Biometria!J474=0,"",Biometria!J474)</f>
        <v/>
      </c>
      <c r="K464" s="62" t="str">
        <f>IF(Biometria!K474=0,"",Biometria!K474)</f>
        <v/>
      </c>
    </row>
    <row r="465" spans="1:11" x14ac:dyDescent="0.25">
      <c r="A465" s="62" t="str">
        <f>IF(LEN(B464)&gt;0,Biometria!A475,"")</f>
        <v/>
      </c>
      <c r="B465" s="62" t="str">
        <f>IF(LEN(Biometria!B475)=0,"",Biometria!B475)</f>
        <v/>
      </c>
      <c r="C465" s="62" t="str">
        <f>IF(Biometria!C475=0,"",Biometria!C475)</f>
        <v/>
      </c>
      <c r="D465" s="62" t="str">
        <f>IF(Biometria!D475=0,"",Biometria!D475)</f>
        <v/>
      </c>
      <c r="E465" s="62" t="str">
        <f>IF(Biometria!E475=0,"",Biometria!E475)</f>
        <v/>
      </c>
      <c r="F465" s="62" t="str">
        <f>IF(Biometria!F475=0,"",Biometria!F475)</f>
        <v/>
      </c>
      <c r="G465" s="62" t="str">
        <f>IF(Biometria!G475=0,"",Biometria!G475)</f>
        <v/>
      </c>
      <c r="H465" s="62" t="str">
        <f>IF(Biometria!H475=0,"",Biometria!H475)</f>
        <v/>
      </c>
      <c r="I465" s="62" t="str">
        <f>IF(Biometria!I475=0,"",Biometria!I475)</f>
        <v/>
      </c>
      <c r="J465" s="62" t="str">
        <f>IF(Biometria!J475=0,"",Biometria!J475)</f>
        <v/>
      </c>
      <c r="K465" s="62" t="str">
        <f>IF(Biometria!K475=0,"",Biometria!K475)</f>
        <v/>
      </c>
    </row>
    <row r="466" spans="1:11" x14ac:dyDescent="0.25">
      <c r="A466" s="62" t="str">
        <f>IF(LEN(B465)&gt;0,Biometria!A476,"")</f>
        <v/>
      </c>
      <c r="B466" s="62" t="str">
        <f>IF(LEN(Biometria!B476)=0,"",Biometria!B476)</f>
        <v/>
      </c>
      <c r="C466" s="62" t="str">
        <f>IF(Biometria!C476=0,"",Biometria!C476)</f>
        <v/>
      </c>
      <c r="D466" s="62" t="str">
        <f>IF(Biometria!D476=0,"",Biometria!D476)</f>
        <v/>
      </c>
      <c r="E466" s="62" t="str">
        <f>IF(Biometria!E476=0,"",Biometria!E476)</f>
        <v/>
      </c>
      <c r="F466" s="62" t="str">
        <f>IF(Biometria!F476=0,"",Biometria!F476)</f>
        <v/>
      </c>
      <c r="G466" s="62" t="str">
        <f>IF(Biometria!G476=0,"",Biometria!G476)</f>
        <v/>
      </c>
      <c r="H466" s="62" t="str">
        <f>IF(Biometria!H476=0,"",Biometria!H476)</f>
        <v/>
      </c>
      <c r="I466" s="62" t="str">
        <f>IF(Biometria!I476=0,"",Biometria!I476)</f>
        <v/>
      </c>
      <c r="J466" s="62" t="str">
        <f>IF(Biometria!J476=0,"",Biometria!J476)</f>
        <v/>
      </c>
      <c r="K466" s="62" t="str">
        <f>IF(Biometria!K476=0,"",Biometria!K476)</f>
        <v/>
      </c>
    </row>
    <row r="467" spans="1:11" x14ac:dyDescent="0.25">
      <c r="A467" s="62" t="str">
        <f>IF(LEN(B466)&gt;0,Biometria!A477,"")</f>
        <v/>
      </c>
      <c r="B467" s="62" t="str">
        <f>IF(LEN(Biometria!B477)=0,"",Biometria!B477)</f>
        <v/>
      </c>
      <c r="C467" s="62" t="str">
        <f>IF(Biometria!C477=0,"",Biometria!C477)</f>
        <v/>
      </c>
      <c r="D467" s="62" t="str">
        <f>IF(Biometria!D477=0,"",Biometria!D477)</f>
        <v/>
      </c>
      <c r="E467" s="62" t="str">
        <f>IF(Biometria!E477=0,"",Biometria!E477)</f>
        <v/>
      </c>
      <c r="F467" s="62" t="str">
        <f>IF(Biometria!F477=0,"",Biometria!F477)</f>
        <v/>
      </c>
      <c r="G467" s="62" t="str">
        <f>IF(Biometria!G477=0,"",Biometria!G477)</f>
        <v/>
      </c>
      <c r="H467" s="62" t="str">
        <f>IF(Biometria!H477=0,"",Biometria!H477)</f>
        <v/>
      </c>
      <c r="I467" s="62" t="str">
        <f>IF(Biometria!I477=0,"",Biometria!I477)</f>
        <v/>
      </c>
      <c r="J467" s="62" t="str">
        <f>IF(Biometria!J477=0,"",Biometria!J477)</f>
        <v/>
      </c>
      <c r="K467" s="62" t="str">
        <f>IF(Biometria!K477=0,"",Biometria!K477)</f>
        <v/>
      </c>
    </row>
    <row r="468" spans="1:11" x14ac:dyDescent="0.25">
      <c r="A468" s="62" t="str">
        <f>IF(LEN(B467)&gt;0,Biometria!A478,"")</f>
        <v/>
      </c>
      <c r="B468" s="62" t="str">
        <f>IF(LEN(Biometria!B478)=0,"",Biometria!B478)</f>
        <v/>
      </c>
      <c r="C468" s="62" t="str">
        <f>IF(Biometria!C478=0,"",Biometria!C478)</f>
        <v/>
      </c>
      <c r="D468" s="62" t="str">
        <f>IF(Biometria!D478=0,"",Biometria!D478)</f>
        <v/>
      </c>
      <c r="E468" s="62" t="str">
        <f>IF(Biometria!E478=0,"",Biometria!E478)</f>
        <v/>
      </c>
      <c r="F468" s="62" t="str">
        <f>IF(Biometria!F478=0,"",Biometria!F478)</f>
        <v/>
      </c>
      <c r="G468" s="62" t="str">
        <f>IF(Biometria!G478=0,"",Biometria!G478)</f>
        <v/>
      </c>
      <c r="H468" s="62" t="str">
        <f>IF(Biometria!H478=0,"",Biometria!H478)</f>
        <v/>
      </c>
      <c r="I468" s="62" t="str">
        <f>IF(Biometria!I478=0,"",Biometria!I478)</f>
        <v/>
      </c>
      <c r="J468" s="62" t="str">
        <f>IF(Biometria!J478=0,"",Biometria!J478)</f>
        <v/>
      </c>
      <c r="K468" s="62" t="str">
        <f>IF(Biometria!K478=0,"",Biometria!K478)</f>
        <v/>
      </c>
    </row>
    <row r="469" spans="1:11" x14ac:dyDescent="0.25">
      <c r="A469" s="62" t="str">
        <f>IF(LEN(B468)&gt;0,Biometria!A479,"")</f>
        <v/>
      </c>
      <c r="B469" s="62" t="str">
        <f>IF(LEN(Biometria!B479)=0,"",Biometria!B479)</f>
        <v/>
      </c>
      <c r="C469" s="62" t="str">
        <f>IF(Biometria!C479=0,"",Biometria!C479)</f>
        <v/>
      </c>
      <c r="D469" s="62" t="str">
        <f>IF(Biometria!D479=0,"",Biometria!D479)</f>
        <v/>
      </c>
      <c r="E469" s="62" t="str">
        <f>IF(Biometria!E479=0,"",Biometria!E479)</f>
        <v/>
      </c>
      <c r="F469" s="62" t="str">
        <f>IF(Biometria!F479=0,"",Biometria!F479)</f>
        <v/>
      </c>
      <c r="G469" s="62" t="str">
        <f>IF(Biometria!G479=0,"",Biometria!G479)</f>
        <v/>
      </c>
      <c r="H469" s="62" t="str">
        <f>IF(Biometria!H479=0,"",Biometria!H479)</f>
        <v/>
      </c>
      <c r="I469" s="62" t="str">
        <f>IF(Biometria!I479=0,"",Biometria!I479)</f>
        <v/>
      </c>
      <c r="J469" s="62" t="str">
        <f>IF(Biometria!J479=0,"",Biometria!J479)</f>
        <v/>
      </c>
      <c r="K469" s="62" t="str">
        <f>IF(Biometria!K479=0,"",Biometria!K479)</f>
        <v/>
      </c>
    </row>
    <row r="470" spans="1:11" x14ac:dyDescent="0.25">
      <c r="A470" s="62" t="str">
        <f>IF(LEN(B469)&gt;0,Biometria!A480,"")</f>
        <v/>
      </c>
      <c r="B470" s="62" t="str">
        <f>IF(LEN(Biometria!B480)=0,"",Biometria!B480)</f>
        <v/>
      </c>
      <c r="C470" s="62" t="str">
        <f>IF(Biometria!C480=0,"",Biometria!C480)</f>
        <v/>
      </c>
      <c r="D470" s="62" t="str">
        <f>IF(Biometria!D480=0,"",Biometria!D480)</f>
        <v/>
      </c>
      <c r="E470" s="62" t="str">
        <f>IF(Biometria!E480=0,"",Biometria!E480)</f>
        <v/>
      </c>
      <c r="F470" s="62" t="str">
        <f>IF(Biometria!F480=0,"",Biometria!F480)</f>
        <v/>
      </c>
      <c r="G470" s="62" t="str">
        <f>IF(Biometria!G480=0,"",Biometria!G480)</f>
        <v/>
      </c>
      <c r="H470" s="62" t="str">
        <f>IF(Biometria!H480=0,"",Biometria!H480)</f>
        <v/>
      </c>
      <c r="I470" s="62" t="str">
        <f>IF(Biometria!I480=0,"",Biometria!I480)</f>
        <v/>
      </c>
      <c r="J470" s="62" t="str">
        <f>IF(Biometria!J480=0,"",Biometria!J480)</f>
        <v/>
      </c>
      <c r="K470" s="62" t="str">
        <f>IF(Biometria!K480=0,"",Biometria!K480)</f>
        <v/>
      </c>
    </row>
    <row r="471" spans="1:11" x14ac:dyDescent="0.25">
      <c r="A471" s="62" t="str">
        <f>IF(LEN(B470)&gt;0,Biometria!A481,"")</f>
        <v/>
      </c>
      <c r="B471" s="62" t="str">
        <f>IF(LEN(Biometria!B481)=0,"",Biometria!B481)</f>
        <v/>
      </c>
      <c r="C471" s="62" t="str">
        <f>IF(Biometria!C481=0,"",Biometria!C481)</f>
        <v/>
      </c>
      <c r="D471" s="62" t="str">
        <f>IF(Biometria!D481=0,"",Biometria!D481)</f>
        <v/>
      </c>
      <c r="E471" s="62" t="str">
        <f>IF(Biometria!E481=0,"",Biometria!E481)</f>
        <v/>
      </c>
      <c r="F471" s="62" t="str">
        <f>IF(Biometria!F481=0,"",Biometria!F481)</f>
        <v/>
      </c>
      <c r="G471" s="62" t="str">
        <f>IF(Biometria!G481=0,"",Biometria!G481)</f>
        <v/>
      </c>
      <c r="H471" s="62" t="str">
        <f>IF(Biometria!H481=0,"",Biometria!H481)</f>
        <v/>
      </c>
      <c r="I471" s="62" t="str">
        <f>IF(Biometria!I481=0,"",Biometria!I481)</f>
        <v/>
      </c>
      <c r="J471" s="62" t="str">
        <f>IF(Biometria!J481=0,"",Biometria!J481)</f>
        <v/>
      </c>
      <c r="K471" s="62" t="str">
        <f>IF(Biometria!K481=0,"",Biometria!K481)</f>
        <v/>
      </c>
    </row>
    <row r="472" spans="1:11" x14ac:dyDescent="0.25">
      <c r="A472" s="62" t="str">
        <f>IF(LEN(B471)&gt;0,Biometria!A482,"")</f>
        <v/>
      </c>
      <c r="B472" s="62" t="str">
        <f>IF(LEN(Biometria!B482)=0,"",Biometria!B482)</f>
        <v/>
      </c>
      <c r="C472" s="62" t="str">
        <f>IF(Biometria!C482=0,"",Biometria!C482)</f>
        <v/>
      </c>
      <c r="D472" s="62" t="str">
        <f>IF(Biometria!D482=0,"",Biometria!D482)</f>
        <v/>
      </c>
      <c r="E472" s="62" t="str">
        <f>IF(Biometria!E482=0,"",Biometria!E482)</f>
        <v/>
      </c>
      <c r="F472" s="62" t="str">
        <f>IF(Biometria!F482=0,"",Biometria!F482)</f>
        <v/>
      </c>
      <c r="G472" s="62" t="str">
        <f>IF(Biometria!G482=0,"",Biometria!G482)</f>
        <v/>
      </c>
      <c r="H472" s="62" t="str">
        <f>IF(Biometria!H482=0,"",Biometria!H482)</f>
        <v/>
      </c>
      <c r="I472" s="62" t="str">
        <f>IF(Biometria!I482=0,"",Biometria!I482)</f>
        <v/>
      </c>
      <c r="J472" s="62" t="str">
        <f>IF(Biometria!J482=0,"",Biometria!J482)</f>
        <v/>
      </c>
      <c r="K472" s="62" t="str">
        <f>IF(Biometria!K482=0,"",Biometria!K482)</f>
        <v/>
      </c>
    </row>
    <row r="473" spans="1:11" x14ac:dyDescent="0.25">
      <c r="A473" s="62" t="str">
        <f>IF(LEN(B472)&gt;0,Biometria!A483,"")</f>
        <v/>
      </c>
      <c r="B473" s="62" t="str">
        <f>IF(LEN(Biometria!B483)=0,"",Biometria!B483)</f>
        <v/>
      </c>
      <c r="C473" s="62" t="str">
        <f>IF(Biometria!C483=0,"",Biometria!C483)</f>
        <v/>
      </c>
      <c r="D473" s="62" t="str">
        <f>IF(Biometria!D483=0,"",Biometria!D483)</f>
        <v/>
      </c>
      <c r="E473" s="62" t="str">
        <f>IF(Biometria!E483=0,"",Biometria!E483)</f>
        <v/>
      </c>
      <c r="F473" s="62" t="str">
        <f>IF(Biometria!F483=0,"",Biometria!F483)</f>
        <v/>
      </c>
      <c r="G473" s="62" t="str">
        <f>IF(Biometria!G483=0,"",Biometria!G483)</f>
        <v/>
      </c>
      <c r="H473" s="62" t="str">
        <f>IF(Biometria!H483=0,"",Biometria!H483)</f>
        <v/>
      </c>
      <c r="I473" s="62" t="str">
        <f>IF(Biometria!I483=0,"",Biometria!I483)</f>
        <v/>
      </c>
      <c r="J473" s="62" t="str">
        <f>IF(Biometria!J483=0,"",Biometria!J483)</f>
        <v/>
      </c>
      <c r="K473" s="62" t="str">
        <f>IF(Biometria!K483=0,"",Biometria!K483)</f>
        <v/>
      </c>
    </row>
    <row r="474" spans="1:11" x14ac:dyDescent="0.25">
      <c r="A474" s="62" t="str">
        <f>IF(LEN(B473)&gt;0,Biometria!A484,"")</f>
        <v/>
      </c>
      <c r="B474" s="62" t="str">
        <f>IF(LEN(Biometria!B484)=0,"",Biometria!B484)</f>
        <v/>
      </c>
      <c r="C474" s="62" t="str">
        <f>IF(Biometria!C484=0,"",Biometria!C484)</f>
        <v/>
      </c>
      <c r="D474" s="62" t="str">
        <f>IF(Biometria!D484=0,"",Biometria!D484)</f>
        <v/>
      </c>
      <c r="E474" s="62" t="str">
        <f>IF(Biometria!E484=0,"",Biometria!E484)</f>
        <v/>
      </c>
      <c r="F474" s="62" t="str">
        <f>IF(Biometria!F484=0,"",Biometria!F484)</f>
        <v/>
      </c>
      <c r="G474" s="62" t="str">
        <f>IF(Biometria!G484=0,"",Biometria!G484)</f>
        <v/>
      </c>
      <c r="H474" s="62" t="str">
        <f>IF(Biometria!H484=0,"",Biometria!H484)</f>
        <v/>
      </c>
      <c r="I474" s="62" t="str">
        <f>IF(Biometria!I484=0,"",Biometria!I484)</f>
        <v/>
      </c>
      <c r="J474" s="62" t="str">
        <f>IF(Biometria!J484=0,"",Biometria!J484)</f>
        <v/>
      </c>
      <c r="K474" s="62" t="str">
        <f>IF(Biometria!K484=0,"",Biometria!K484)</f>
        <v/>
      </c>
    </row>
    <row r="475" spans="1:11" x14ac:dyDescent="0.25">
      <c r="A475" s="62" t="str">
        <f>IF(LEN(B474)&gt;0,Biometria!A485,"")</f>
        <v/>
      </c>
      <c r="B475" s="62" t="str">
        <f>IF(LEN(Biometria!B485)=0,"",Biometria!B485)</f>
        <v/>
      </c>
      <c r="C475" s="62" t="str">
        <f>IF(Biometria!C485=0,"",Biometria!C485)</f>
        <v/>
      </c>
      <c r="D475" s="62" t="str">
        <f>IF(Biometria!D485=0,"",Biometria!D485)</f>
        <v/>
      </c>
      <c r="E475" s="62" t="str">
        <f>IF(Biometria!E485=0,"",Biometria!E485)</f>
        <v/>
      </c>
      <c r="F475" s="62" t="str">
        <f>IF(Biometria!F485=0,"",Biometria!F485)</f>
        <v/>
      </c>
      <c r="G475" s="62" t="str">
        <f>IF(Biometria!G485=0,"",Biometria!G485)</f>
        <v/>
      </c>
      <c r="H475" s="62" t="str">
        <f>IF(Biometria!H485=0,"",Biometria!H485)</f>
        <v/>
      </c>
      <c r="I475" s="62" t="str">
        <f>IF(Biometria!I485=0,"",Biometria!I485)</f>
        <v/>
      </c>
      <c r="J475" s="62" t="str">
        <f>IF(Biometria!J485=0,"",Biometria!J485)</f>
        <v/>
      </c>
      <c r="K475" s="62" t="str">
        <f>IF(Biometria!K485=0,"",Biometria!K485)</f>
        <v/>
      </c>
    </row>
    <row r="476" spans="1:11" x14ac:dyDescent="0.25">
      <c r="A476" s="62" t="str">
        <f>IF(LEN(B475)&gt;0,Biometria!A486,"")</f>
        <v/>
      </c>
      <c r="B476" s="62" t="str">
        <f>IF(LEN(Biometria!B486)=0,"",Biometria!B486)</f>
        <v/>
      </c>
      <c r="C476" s="62" t="str">
        <f>IF(Biometria!C486=0,"",Biometria!C486)</f>
        <v/>
      </c>
      <c r="D476" s="62" t="str">
        <f>IF(Biometria!D486=0,"",Biometria!D486)</f>
        <v/>
      </c>
      <c r="E476" s="62" t="str">
        <f>IF(Biometria!E486=0,"",Biometria!E486)</f>
        <v/>
      </c>
      <c r="F476" s="62" t="str">
        <f>IF(Biometria!F486=0,"",Biometria!F486)</f>
        <v/>
      </c>
      <c r="G476" s="62" t="str">
        <f>IF(Biometria!G486=0,"",Biometria!G486)</f>
        <v/>
      </c>
      <c r="H476" s="62" t="str">
        <f>IF(Biometria!H486=0,"",Biometria!H486)</f>
        <v/>
      </c>
      <c r="I476" s="62" t="str">
        <f>IF(Biometria!I486=0,"",Biometria!I486)</f>
        <v/>
      </c>
      <c r="J476" s="62" t="str">
        <f>IF(Biometria!J486=0,"",Biometria!J486)</f>
        <v/>
      </c>
      <c r="K476" s="62" t="str">
        <f>IF(Biometria!K486=0,"",Biometria!K486)</f>
        <v/>
      </c>
    </row>
    <row r="477" spans="1:11" x14ac:dyDescent="0.25">
      <c r="A477" s="62" t="str">
        <f>IF(LEN(B476)&gt;0,Biometria!A487,"")</f>
        <v/>
      </c>
      <c r="B477" s="62" t="str">
        <f>IF(LEN(Biometria!B487)=0,"",Biometria!B487)</f>
        <v/>
      </c>
      <c r="C477" s="62" t="str">
        <f>IF(Biometria!C487=0,"",Biometria!C487)</f>
        <v/>
      </c>
      <c r="D477" s="62" t="str">
        <f>IF(Biometria!D487=0,"",Biometria!D487)</f>
        <v/>
      </c>
      <c r="E477" s="62" t="str">
        <f>IF(Biometria!E487=0,"",Biometria!E487)</f>
        <v/>
      </c>
      <c r="F477" s="62" t="str">
        <f>IF(Biometria!F487=0,"",Biometria!F487)</f>
        <v/>
      </c>
      <c r="G477" s="62" t="str">
        <f>IF(Biometria!G487=0,"",Biometria!G487)</f>
        <v/>
      </c>
      <c r="H477" s="62" t="str">
        <f>IF(Biometria!H487=0,"",Biometria!H487)</f>
        <v/>
      </c>
      <c r="I477" s="62" t="str">
        <f>IF(Biometria!I487=0,"",Biometria!I487)</f>
        <v/>
      </c>
      <c r="J477" s="62" t="str">
        <f>IF(Biometria!J487=0,"",Biometria!J487)</f>
        <v/>
      </c>
      <c r="K477" s="62" t="str">
        <f>IF(Biometria!K487=0,"",Biometria!K487)</f>
        <v/>
      </c>
    </row>
    <row r="478" spans="1:11" x14ac:dyDescent="0.25">
      <c r="A478" s="62" t="str">
        <f>IF(LEN(B477)&gt;0,Biometria!A488,"")</f>
        <v/>
      </c>
      <c r="B478" s="62" t="str">
        <f>IF(LEN(Biometria!B488)=0,"",Biometria!B488)</f>
        <v/>
      </c>
      <c r="C478" s="62" t="str">
        <f>IF(Biometria!C488=0,"",Biometria!C488)</f>
        <v/>
      </c>
      <c r="D478" s="62" t="str">
        <f>IF(Biometria!D488=0,"",Biometria!D488)</f>
        <v/>
      </c>
      <c r="E478" s="62" t="str">
        <f>IF(Biometria!E488=0,"",Biometria!E488)</f>
        <v/>
      </c>
      <c r="F478" s="62" t="str">
        <f>IF(Biometria!F488=0,"",Biometria!F488)</f>
        <v/>
      </c>
      <c r="G478" s="62" t="str">
        <f>IF(Biometria!G488=0,"",Biometria!G488)</f>
        <v/>
      </c>
      <c r="H478" s="62" t="str">
        <f>IF(Biometria!H488=0,"",Biometria!H488)</f>
        <v/>
      </c>
      <c r="I478" s="62" t="str">
        <f>IF(Biometria!I488=0,"",Biometria!I488)</f>
        <v/>
      </c>
      <c r="J478" s="62" t="str">
        <f>IF(Biometria!J488=0,"",Biometria!J488)</f>
        <v/>
      </c>
      <c r="K478" s="62" t="str">
        <f>IF(Biometria!K488=0,"",Biometria!K488)</f>
        <v/>
      </c>
    </row>
    <row r="479" spans="1:11" x14ac:dyDescent="0.25">
      <c r="A479" s="62" t="str">
        <f>IF(LEN(B478)&gt;0,Biometria!A489,"")</f>
        <v/>
      </c>
      <c r="B479" s="62" t="str">
        <f>IF(LEN(Biometria!B489)=0,"",Biometria!B489)</f>
        <v/>
      </c>
      <c r="C479" s="62" t="str">
        <f>IF(Biometria!C489=0,"",Biometria!C489)</f>
        <v/>
      </c>
      <c r="D479" s="62" t="str">
        <f>IF(Biometria!D489=0,"",Biometria!D489)</f>
        <v/>
      </c>
      <c r="E479" s="62" t="str">
        <f>IF(Biometria!E489=0,"",Biometria!E489)</f>
        <v/>
      </c>
      <c r="F479" s="62" t="str">
        <f>IF(Biometria!F489=0,"",Biometria!F489)</f>
        <v/>
      </c>
      <c r="G479" s="62" t="str">
        <f>IF(Biometria!G489=0,"",Biometria!G489)</f>
        <v/>
      </c>
      <c r="H479" s="62" t="str">
        <f>IF(Biometria!H489=0,"",Biometria!H489)</f>
        <v/>
      </c>
      <c r="I479" s="62" t="str">
        <f>IF(Biometria!I489=0,"",Biometria!I489)</f>
        <v/>
      </c>
      <c r="J479" s="62" t="str">
        <f>IF(Biometria!J489=0,"",Biometria!J489)</f>
        <v/>
      </c>
      <c r="K479" s="62" t="str">
        <f>IF(Biometria!K489=0,"",Biometria!K489)</f>
        <v/>
      </c>
    </row>
    <row r="480" spans="1:11" x14ac:dyDescent="0.25">
      <c r="A480" s="62" t="str">
        <f>IF(LEN(B479)&gt;0,Biometria!A490,"")</f>
        <v/>
      </c>
      <c r="B480" s="62" t="str">
        <f>IF(LEN(Biometria!B490)=0,"",Biometria!B490)</f>
        <v/>
      </c>
      <c r="C480" s="62" t="str">
        <f>IF(Biometria!C490=0,"",Biometria!C490)</f>
        <v/>
      </c>
      <c r="D480" s="62" t="str">
        <f>IF(Biometria!D490=0,"",Biometria!D490)</f>
        <v/>
      </c>
      <c r="E480" s="62" t="str">
        <f>IF(Biometria!E490=0,"",Biometria!E490)</f>
        <v/>
      </c>
      <c r="F480" s="62" t="str">
        <f>IF(Biometria!F490=0,"",Biometria!F490)</f>
        <v/>
      </c>
      <c r="G480" s="62" t="str">
        <f>IF(Biometria!G490=0,"",Biometria!G490)</f>
        <v/>
      </c>
      <c r="H480" s="62" t="str">
        <f>IF(Biometria!H490=0,"",Biometria!H490)</f>
        <v/>
      </c>
      <c r="I480" s="62" t="str">
        <f>IF(Biometria!I490=0,"",Biometria!I490)</f>
        <v/>
      </c>
      <c r="J480" s="62" t="str">
        <f>IF(Biometria!J490=0,"",Biometria!J490)</f>
        <v/>
      </c>
      <c r="K480" s="62" t="str">
        <f>IF(Biometria!K490=0,"",Biometria!K490)</f>
        <v/>
      </c>
    </row>
    <row r="481" spans="1:11" x14ac:dyDescent="0.25">
      <c r="A481" s="62" t="str">
        <f>IF(LEN(B480)&gt;0,Biometria!A491,"")</f>
        <v/>
      </c>
      <c r="B481" s="62" t="str">
        <f>IF(LEN(Biometria!B491)=0,"",Biometria!B491)</f>
        <v/>
      </c>
      <c r="C481" s="62" t="str">
        <f>IF(Biometria!C491=0,"",Biometria!C491)</f>
        <v/>
      </c>
      <c r="D481" s="62" t="str">
        <f>IF(Biometria!D491=0,"",Biometria!D491)</f>
        <v/>
      </c>
      <c r="E481" s="62" t="str">
        <f>IF(Biometria!E491=0,"",Biometria!E491)</f>
        <v/>
      </c>
      <c r="F481" s="62" t="str">
        <f>IF(Biometria!F491=0,"",Biometria!F491)</f>
        <v/>
      </c>
      <c r="G481" s="62" t="str">
        <f>IF(Biometria!G491=0,"",Biometria!G491)</f>
        <v/>
      </c>
      <c r="H481" s="62" t="str">
        <f>IF(Biometria!H491=0,"",Biometria!H491)</f>
        <v/>
      </c>
      <c r="I481" s="62" t="str">
        <f>IF(Biometria!I491=0,"",Biometria!I491)</f>
        <v/>
      </c>
      <c r="J481" s="62" t="str">
        <f>IF(Biometria!J491=0,"",Biometria!J491)</f>
        <v/>
      </c>
      <c r="K481" s="62" t="str">
        <f>IF(Biometria!K491=0,"",Biometria!K491)</f>
        <v/>
      </c>
    </row>
    <row r="482" spans="1:11" x14ac:dyDescent="0.25">
      <c r="A482" s="62" t="str">
        <f>IF(LEN(B481)&gt;0,Biometria!A492,"")</f>
        <v/>
      </c>
      <c r="B482" s="62" t="str">
        <f>IF(LEN(Biometria!B492)=0,"",Biometria!B492)</f>
        <v/>
      </c>
      <c r="C482" s="62" t="str">
        <f>IF(Biometria!C492=0,"",Biometria!C492)</f>
        <v/>
      </c>
      <c r="D482" s="62" t="str">
        <f>IF(Biometria!D492=0,"",Biometria!D492)</f>
        <v/>
      </c>
      <c r="E482" s="62" t="str">
        <f>IF(Biometria!E492=0,"",Biometria!E492)</f>
        <v/>
      </c>
      <c r="F482" s="62" t="str">
        <f>IF(Biometria!F492=0,"",Biometria!F492)</f>
        <v/>
      </c>
      <c r="G482" s="62" t="str">
        <f>IF(Biometria!G492=0,"",Biometria!G492)</f>
        <v/>
      </c>
      <c r="H482" s="62" t="str">
        <f>IF(Biometria!H492=0,"",Biometria!H492)</f>
        <v/>
      </c>
      <c r="I482" s="62" t="str">
        <f>IF(Biometria!I492=0,"",Biometria!I492)</f>
        <v/>
      </c>
      <c r="J482" s="62" t="str">
        <f>IF(Biometria!J492=0,"",Biometria!J492)</f>
        <v/>
      </c>
      <c r="K482" s="62" t="str">
        <f>IF(Biometria!K492=0,"",Biometria!K492)</f>
        <v/>
      </c>
    </row>
    <row r="483" spans="1:11" x14ac:dyDescent="0.25">
      <c r="A483" s="62" t="str">
        <f>IF(LEN(B482)&gt;0,Biometria!A493,"")</f>
        <v/>
      </c>
      <c r="B483" s="62" t="str">
        <f>IF(LEN(Biometria!B493)=0,"",Biometria!B493)</f>
        <v/>
      </c>
      <c r="C483" s="62" t="str">
        <f>IF(Biometria!C493=0,"",Biometria!C493)</f>
        <v/>
      </c>
      <c r="D483" s="62" t="str">
        <f>IF(Biometria!D493=0,"",Biometria!D493)</f>
        <v/>
      </c>
      <c r="E483" s="62" t="str">
        <f>IF(Biometria!E493=0,"",Biometria!E493)</f>
        <v/>
      </c>
      <c r="F483" s="62" t="str">
        <f>IF(Biometria!F493=0,"",Biometria!F493)</f>
        <v/>
      </c>
      <c r="G483" s="62" t="str">
        <f>IF(Biometria!G493=0,"",Biometria!G493)</f>
        <v/>
      </c>
      <c r="H483" s="62" t="str">
        <f>IF(Biometria!H493=0,"",Biometria!H493)</f>
        <v/>
      </c>
      <c r="I483" s="62" t="str">
        <f>IF(Biometria!I493=0,"",Biometria!I493)</f>
        <v/>
      </c>
      <c r="J483" s="62" t="str">
        <f>IF(Biometria!J493=0,"",Biometria!J493)</f>
        <v/>
      </c>
      <c r="K483" s="62" t="str">
        <f>IF(Biometria!K493=0,"",Biometria!K493)</f>
        <v/>
      </c>
    </row>
    <row r="484" spans="1:11" x14ac:dyDescent="0.25">
      <c r="A484" s="62" t="str">
        <f>IF(LEN(B483)&gt;0,Biometria!A494,"")</f>
        <v/>
      </c>
      <c r="B484" s="62" t="str">
        <f>IF(LEN(Biometria!B494)=0,"",Biometria!B494)</f>
        <v/>
      </c>
      <c r="C484" s="62" t="str">
        <f>IF(Biometria!C494=0,"",Biometria!C494)</f>
        <v/>
      </c>
      <c r="D484" s="62" t="str">
        <f>IF(Biometria!D494=0,"",Biometria!D494)</f>
        <v/>
      </c>
      <c r="E484" s="62" t="str">
        <f>IF(Biometria!E494=0,"",Biometria!E494)</f>
        <v/>
      </c>
      <c r="F484" s="62" t="str">
        <f>IF(Biometria!F494=0,"",Biometria!F494)</f>
        <v/>
      </c>
      <c r="G484" s="62" t="str">
        <f>IF(Biometria!G494=0,"",Biometria!G494)</f>
        <v/>
      </c>
      <c r="H484" s="62" t="str">
        <f>IF(Biometria!H494=0,"",Biometria!H494)</f>
        <v/>
      </c>
      <c r="I484" s="62" t="str">
        <f>IF(Biometria!I494=0,"",Biometria!I494)</f>
        <v/>
      </c>
      <c r="J484" s="62" t="str">
        <f>IF(Biometria!J494=0,"",Biometria!J494)</f>
        <v/>
      </c>
      <c r="K484" s="62" t="str">
        <f>IF(Biometria!K494=0,"",Biometria!K494)</f>
        <v/>
      </c>
    </row>
    <row r="485" spans="1:11" x14ac:dyDescent="0.25">
      <c r="A485" s="62" t="str">
        <f>IF(LEN(B484)&gt;0,Biometria!A495,"")</f>
        <v/>
      </c>
      <c r="B485" s="62" t="str">
        <f>IF(LEN(Biometria!B495)=0,"",Biometria!B495)</f>
        <v/>
      </c>
      <c r="C485" s="62" t="str">
        <f>IF(Biometria!C495=0,"",Biometria!C495)</f>
        <v/>
      </c>
      <c r="D485" s="62" t="str">
        <f>IF(Biometria!D495=0,"",Biometria!D495)</f>
        <v/>
      </c>
      <c r="E485" s="62" t="str">
        <f>IF(Biometria!E495=0,"",Biometria!E495)</f>
        <v/>
      </c>
      <c r="F485" s="62" t="str">
        <f>IF(Biometria!F495=0,"",Biometria!F495)</f>
        <v/>
      </c>
      <c r="G485" s="62" t="str">
        <f>IF(Biometria!G495=0,"",Biometria!G495)</f>
        <v/>
      </c>
      <c r="H485" s="62" t="str">
        <f>IF(Biometria!H495=0,"",Biometria!H495)</f>
        <v/>
      </c>
      <c r="I485" s="62" t="str">
        <f>IF(Biometria!I495=0,"",Biometria!I495)</f>
        <v/>
      </c>
      <c r="J485" s="62" t="str">
        <f>IF(Biometria!J495=0,"",Biometria!J495)</f>
        <v/>
      </c>
      <c r="K485" s="62" t="str">
        <f>IF(Biometria!K495=0,"",Biometria!K495)</f>
        <v/>
      </c>
    </row>
    <row r="486" spans="1:11" x14ac:dyDescent="0.25">
      <c r="A486" s="62" t="str">
        <f>IF(LEN(B485)&gt;0,Biometria!A496,"")</f>
        <v/>
      </c>
      <c r="B486" s="62" t="str">
        <f>IF(LEN(Biometria!B496)=0,"",Biometria!B496)</f>
        <v/>
      </c>
      <c r="C486" s="62" t="str">
        <f>IF(Biometria!C496=0,"",Biometria!C496)</f>
        <v/>
      </c>
      <c r="D486" s="62" t="str">
        <f>IF(Biometria!D496=0,"",Biometria!D496)</f>
        <v/>
      </c>
      <c r="E486" s="62" t="str">
        <f>IF(Biometria!E496=0,"",Biometria!E496)</f>
        <v/>
      </c>
      <c r="F486" s="62" t="str">
        <f>IF(Biometria!F496=0,"",Biometria!F496)</f>
        <v/>
      </c>
      <c r="G486" s="62" t="str">
        <f>IF(Biometria!G496=0,"",Biometria!G496)</f>
        <v/>
      </c>
      <c r="H486" s="62" t="str">
        <f>IF(Biometria!H496=0,"",Biometria!H496)</f>
        <v/>
      </c>
      <c r="I486" s="62" t="str">
        <f>IF(Biometria!I496=0,"",Biometria!I496)</f>
        <v/>
      </c>
      <c r="J486" s="62" t="str">
        <f>IF(Biometria!J496=0,"",Biometria!J496)</f>
        <v/>
      </c>
      <c r="K486" s="62" t="str">
        <f>IF(Biometria!K496=0,"",Biometria!K496)</f>
        <v/>
      </c>
    </row>
    <row r="487" spans="1:11" x14ac:dyDescent="0.25">
      <c r="A487" s="62" t="str">
        <f>IF(LEN(B486)&gt;0,Biometria!A497,"")</f>
        <v/>
      </c>
      <c r="B487" s="62" t="str">
        <f>IF(LEN(Biometria!B497)=0,"",Biometria!B497)</f>
        <v/>
      </c>
      <c r="C487" s="62" t="str">
        <f>IF(Biometria!C497=0,"",Biometria!C497)</f>
        <v/>
      </c>
      <c r="D487" s="62" t="str">
        <f>IF(Biometria!D497=0,"",Biometria!D497)</f>
        <v/>
      </c>
      <c r="E487" s="62" t="str">
        <f>IF(Biometria!E497=0,"",Biometria!E497)</f>
        <v/>
      </c>
      <c r="F487" s="62" t="str">
        <f>IF(Biometria!F497=0,"",Biometria!F497)</f>
        <v/>
      </c>
      <c r="G487" s="62" t="str">
        <f>IF(Biometria!G497=0,"",Biometria!G497)</f>
        <v/>
      </c>
      <c r="H487" s="62" t="str">
        <f>IF(Biometria!H497=0,"",Biometria!H497)</f>
        <v/>
      </c>
      <c r="I487" s="62" t="str">
        <f>IF(Biometria!I497=0,"",Biometria!I497)</f>
        <v/>
      </c>
      <c r="J487" s="62" t="str">
        <f>IF(Biometria!J497=0,"",Biometria!J497)</f>
        <v/>
      </c>
      <c r="K487" s="62" t="str">
        <f>IF(Biometria!K497=0,"",Biometria!K497)</f>
        <v/>
      </c>
    </row>
    <row r="488" spans="1:11" x14ac:dyDescent="0.25">
      <c r="A488" s="62" t="str">
        <f>IF(LEN(B487)&gt;0,Biometria!A498,"")</f>
        <v/>
      </c>
      <c r="B488" s="62" t="str">
        <f>IF(LEN(Biometria!B498)=0,"",Biometria!B498)</f>
        <v/>
      </c>
      <c r="C488" s="62" t="str">
        <f>IF(Biometria!C498=0,"",Biometria!C498)</f>
        <v/>
      </c>
      <c r="D488" s="62" t="str">
        <f>IF(Biometria!D498=0,"",Biometria!D498)</f>
        <v/>
      </c>
      <c r="E488" s="62" t="str">
        <f>IF(Biometria!E498=0,"",Biometria!E498)</f>
        <v/>
      </c>
      <c r="F488" s="62" t="str">
        <f>IF(Biometria!F498=0,"",Biometria!F498)</f>
        <v/>
      </c>
      <c r="G488" s="62" t="str">
        <f>IF(Biometria!G498=0,"",Biometria!G498)</f>
        <v/>
      </c>
      <c r="H488" s="62" t="str">
        <f>IF(Biometria!H498=0,"",Biometria!H498)</f>
        <v/>
      </c>
      <c r="I488" s="62" t="str">
        <f>IF(Biometria!I498=0,"",Biometria!I498)</f>
        <v/>
      </c>
      <c r="J488" s="62" t="str">
        <f>IF(Biometria!J498=0,"",Biometria!J498)</f>
        <v/>
      </c>
      <c r="K488" s="62" t="str">
        <f>IF(Biometria!K498=0,"",Biometria!K498)</f>
        <v/>
      </c>
    </row>
    <row r="489" spans="1:11" x14ac:dyDescent="0.25">
      <c r="A489" s="62" t="str">
        <f>IF(LEN(B488)&gt;0,Biometria!A499,"")</f>
        <v/>
      </c>
      <c r="B489" s="62" t="str">
        <f>IF(LEN(Biometria!B499)=0,"",Biometria!B499)</f>
        <v/>
      </c>
      <c r="C489" s="62" t="str">
        <f>IF(Biometria!C499=0,"",Biometria!C499)</f>
        <v/>
      </c>
      <c r="D489" s="62" t="str">
        <f>IF(Biometria!D499=0,"",Biometria!D499)</f>
        <v/>
      </c>
      <c r="E489" s="62" t="str">
        <f>IF(Biometria!E499=0,"",Biometria!E499)</f>
        <v/>
      </c>
      <c r="F489" s="62" t="str">
        <f>IF(Biometria!F499=0,"",Biometria!F499)</f>
        <v/>
      </c>
      <c r="G489" s="62" t="str">
        <f>IF(Biometria!G499=0,"",Biometria!G499)</f>
        <v/>
      </c>
      <c r="H489" s="62" t="str">
        <f>IF(Biometria!H499=0,"",Biometria!H499)</f>
        <v/>
      </c>
      <c r="I489" s="62" t="str">
        <f>IF(Biometria!I499=0,"",Biometria!I499)</f>
        <v/>
      </c>
      <c r="J489" s="62" t="str">
        <f>IF(Biometria!J499=0,"",Biometria!J499)</f>
        <v/>
      </c>
      <c r="K489" s="62" t="str">
        <f>IF(Biometria!K499=0,"",Biometria!K499)</f>
        <v/>
      </c>
    </row>
    <row r="490" spans="1:11" x14ac:dyDescent="0.25">
      <c r="A490" s="62" t="str">
        <f>IF(LEN(B489)&gt;0,Biometria!A500,"")</f>
        <v/>
      </c>
      <c r="B490" s="62" t="str">
        <f>IF(LEN(Biometria!B500)=0,"",Biometria!B500)</f>
        <v/>
      </c>
      <c r="C490" s="62" t="str">
        <f>IF(Biometria!C500=0,"",Biometria!C500)</f>
        <v/>
      </c>
      <c r="D490" s="62" t="str">
        <f>IF(Biometria!D500=0,"",Biometria!D500)</f>
        <v/>
      </c>
      <c r="E490" s="62" t="str">
        <f>IF(Biometria!E500=0,"",Biometria!E500)</f>
        <v/>
      </c>
      <c r="F490" s="62" t="str">
        <f>IF(Biometria!F500=0,"",Biometria!F500)</f>
        <v/>
      </c>
      <c r="G490" s="62" t="str">
        <f>IF(Biometria!G500=0,"",Biometria!G500)</f>
        <v/>
      </c>
      <c r="H490" s="62" t="str">
        <f>IF(Biometria!H500=0,"",Biometria!H500)</f>
        <v/>
      </c>
      <c r="I490" s="62" t="str">
        <f>IF(Biometria!I500=0,"",Biometria!I500)</f>
        <v/>
      </c>
      <c r="J490" s="62" t="str">
        <f>IF(Biometria!J500=0,"",Biometria!J500)</f>
        <v/>
      </c>
      <c r="K490" s="62" t="str">
        <f>IF(Biometria!K500=0,"",Biometria!K500)</f>
        <v/>
      </c>
    </row>
    <row r="491" spans="1:11" x14ac:dyDescent="0.25">
      <c r="A491" s="62" t="str">
        <f>IF(LEN(B490)&gt;0,Biometria!A501,"")</f>
        <v/>
      </c>
      <c r="B491" s="62" t="str">
        <f>IF(LEN(Biometria!B501)=0,"",Biometria!B501)</f>
        <v/>
      </c>
      <c r="C491" s="62" t="str">
        <f>IF(Biometria!C501=0,"",Biometria!C501)</f>
        <v/>
      </c>
      <c r="D491" s="62" t="str">
        <f>IF(Biometria!D501=0,"",Biometria!D501)</f>
        <v/>
      </c>
      <c r="E491" s="62" t="str">
        <f>IF(Biometria!E501=0,"",Biometria!E501)</f>
        <v/>
      </c>
      <c r="F491" s="62" t="str">
        <f>IF(Biometria!F501=0,"",Biometria!F501)</f>
        <v/>
      </c>
      <c r="G491" s="62" t="str">
        <f>IF(Biometria!G501=0,"",Biometria!G501)</f>
        <v/>
      </c>
      <c r="H491" s="62" t="str">
        <f>IF(Biometria!H501=0,"",Biometria!H501)</f>
        <v/>
      </c>
      <c r="I491" s="62" t="str">
        <f>IF(Biometria!I501=0,"",Biometria!I501)</f>
        <v/>
      </c>
      <c r="J491" s="62" t="str">
        <f>IF(Biometria!J501=0,"",Biometria!J501)</f>
        <v/>
      </c>
      <c r="K491" s="62" t="str">
        <f>IF(Biometria!K501=0,"",Biometria!K501)</f>
        <v/>
      </c>
    </row>
    <row r="492" spans="1:11" x14ac:dyDescent="0.25">
      <c r="A492" s="62" t="str">
        <f>IF(LEN(B491)&gt;0,Biometria!A502,"")</f>
        <v/>
      </c>
      <c r="B492" s="62" t="str">
        <f>IF(LEN(Biometria!B502)=0,"",Biometria!B502)</f>
        <v/>
      </c>
      <c r="C492" s="62" t="str">
        <f>IF(Biometria!C502=0,"",Biometria!C502)</f>
        <v/>
      </c>
      <c r="D492" s="62" t="str">
        <f>IF(Biometria!D502=0,"",Biometria!D502)</f>
        <v/>
      </c>
      <c r="E492" s="62" t="str">
        <f>IF(Biometria!E502=0,"",Biometria!E502)</f>
        <v/>
      </c>
      <c r="F492" s="62" t="str">
        <f>IF(Biometria!F502=0,"",Biometria!F502)</f>
        <v/>
      </c>
      <c r="G492" s="62" t="str">
        <f>IF(Biometria!G502=0,"",Biometria!G502)</f>
        <v/>
      </c>
      <c r="H492" s="62" t="str">
        <f>IF(Biometria!H502=0,"",Biometria!H502)</f>
        <v/>
      </c>
      <c r="I492" s="62" t="str">
        <f>IF(Biometria!I502=0,"",Biometria!I502)</f>
        <v/>
      </c>
      <c r="J492" s="62" t="str">
        <f>IF(Biometria!J502=0,"",Biometria!J502)</f>
        <v/>
      </c>
      <c r="K492" s="62" t="str">
        <f>IF(Biometria!K502=0,"",Biometria!K502)</f>
        <v/>
      </c>
    </row>
    <row r="493" spans="1:11" x14ac:dyDescent="0.25">
      <c r="A493" s="62" t="str">
        <f>IF(LEN(B492)&gt;0,Biometria!A503,"")</f>
        <v/>
      </c>
      <c r="B493" s="62" t="str">
        <f>IF(LEN(Biometria!B503)=0,"",Biometria!B503)</f>
        <v/>
      </c>
      <c r="C493" s="62" t="str">
        <f>IF(Biometria!C503=0,"",Biometria!C503)</f>
        <v/>
      </c>
      <c r="D493" s="62" t="str">
        <f>IF(Biometria!D503=0,"",Biometria!D503)</f>
        <v/>
      </c>
      <c r="E493" s="62" t="str">
        <f>IF(Biometria!E503=0,"",Biometria!E503)</f>
        <v/>
      </c>
      <c r="F493" s="62" t="str">
        <f>IF(Biometria!F503=0,"",Biometria!F503)</f>
        <v/>
      </c>
      <c r="G493" s="62" t="str">
        <f>IF(Biometria!G503=0,"",Biometria!G503)</f>
        <v/>
      </c>
      <c r="H493" s="62" t="str">
        <f>IF(Biometria!H503=0,"",Biometria!H503)</f>
        <v/>
      </c>
      <c r="I493" s="62" t="str">
        <f>IF(Biometria!I503=0,"",Biometria!I503)</f>
        <v/>
      </c>
      <c r="J493" s="62" t="str">
        <f>IF(Biometria!J503=0,"",Biometria!J503)</f>
        <v/>
      </c>
      <c r="K493" s="62" t="str">
        <f>IF(Biometria!K503=0,"",Biometria!K503)</f>
        <v/>
      </c>
    </row>
    <row r="494" spans="1:11" x14ac:dyDescent="0.25">
      <c r="A494" s="62" t="str">
        <f>IF(LEN(B493)&gt;0,Biometria!A504,"")</f>
        <v/>
      </c>
      <c r="B494" s="62" t="str">
        <f>IF(LEN(Biometria!B504)=0,"",Biometria!B504)</f>
        <v/>
      </c>
      <c r="C494" s="62" t="str">
        <f>IF(Biometria!C504=0,"",Biometria!C504)</f>
        <v/>
      </c>
      <c r="D494" s="62" t="str">
        <f>IF(Biometria!D504=0,"",Biometria!D504)</f>
        <v/>
      </c>
      <c r="E494" s="62" t="str">
        <f>IF(Biometria!E504=0,"",Biometria!E504)</f>
        <v/>
      </c>
      <c r="F494" s="62" t="str">
        <f>IF(Biometria!F504=0,"",Biometria!F504)</f>
        <v/>
      </c>
      <c r="G494" s="62" t="str">
        <f>IF(Biometria!G504=0,"",Biometria!G504)</f>
        <v/>
      </c>
      <c r="H494" s="62" t="str">
        <f>IF(Biometria!H504=0,"",Biometria!H504)</f>
        <v/>
      </c>
      <c r="I494" s="62" t="str">
        <f>IF(Biometria!I504=0,"",Biometria!I504)</f>
        <v/>
      </c>
      <c r="J494" s="62" t="str">
        <f>IF(Biometria!J504=0,"",Biometria!J504)</f>
        <v/>
      </c>
      <c r="K494" s="62" t="str">
        <f>IF(Biometria!K504=0,"",Biometria!K504)</f>
        <v/>
      </c>
    </row>
    <row r="495" spans="1:11" x14ac:dyDescent="0.25">
      <c r="A495" s="62" t="str">
        <f>IF(LEN(B494)&gt;0,Biometria!A505,"")</f>
        <v/>
      </c>
      <c r="B495" s="62" t="str">
        <f>IF(LEN(Biometria!B505)=0,"",Biometria!B505)</f>
        <v/>
      </c>
      <c r="C495" s="62" t="str">
        <f>IF(Biometria!C505=0,"",Biometria!C505)</f>
        <v/>
      </c>
      <c r="D495" s="62" t="str">
        <f>IF(Biometria!D505=0,"",Biometria!D505)</f>
        <v/>
      </c>
      <c r="E495" s="62" t="str">
        <f>IF(Biometria!E505=0,"",Biometria!E505)</f>
        <v/>
      </c>
      <c r="F495" s="62" t="str">
        <f>IF(Biometria!F505=0,"",Biometria!F505)</f>
        <v/>
      </c>
      <c r="G495" s="62" t="str">
        <f>IF(Biometria!G505=0,"",Biometria!G505)</f>
        <v/>
      </c>
      <c r="H495" s="62" t="str">
        <f>IF(Biometria!H505=0,"",Biometria!H505)</f>
        <v/>
      </c>
      <c r="I495" s="62" t="str">
        <f>IF(Biometria!I505=0,"",Biometria!I505)</f>
        <v/>
      </c>
      <c r="J495" s="62" t="str">
        <f>IF(Biometria!J505=0,"",Biometria!J505)</f>
        <v/>
      </c>
      <c r="K495" s="62" t="str">
        <f>IF(Biometria!K505=0,"",Biometria!K505)</f>
        <v/>
      </c>
    </row>
    <row r="496" spans="1:11" x14ac:dyDescent="0.25">
      <c r="A496" s="62" t="str">
        <f>IF(LEN(B495)&gt;0,Biometria!A506,"")</f>
        <v/>
      </c>
      <c r="B496" s="62" t="str">
        <f>IF(LEN(Biometria!B506)=0,"",Biometria!B506)</f>
        <v/>
      </c>
      <c r="C496" s="62" t="str">
        <f>IF(Biometria!C506=0,"",Biometria!C506)</f>
        <v/>
      </c>
      <c r="D496" s="62" t="str">
        <f>IF(Biometria!D506=0,"",Biometria!D506)</f>
        <v/>
      </c>
      <c r="E496" s="62" t="str">
        <f>IF(Biometria!E506=0,"",Biometria!E506)</f>
        <v/>
      </c>
      <c r="F496" s="62" t="str">
        <f>IF(Biometria!F506=0,"",Biometria!F506)</f>
        <v/>
      </c>
      <c r="G496" s="62" t="str">
        <f>IF(Biometria!G506=0,"",Biometria!G506)</f>
        <v/>
      </c>
      <c r="H496" s="62" t="str">
        <f>IF(Biometria!H506=0,"",Biometria!H506)</f>
        <v/>
      </c>
      <c r="I496" s="62" t="str">
        <f>IF(Biometria!I506=0,"",Biometria!I506)</f>
        <v/>
      </c>
      <c r="J496" s="62" t="str">
        <f>IF(Biometria!J506=0,"",Biometria!J506)</f>
        <v/>
      </c>
      <c r="K496" s="62" t="str">
        <f>IF(Biometria!K506=0,"",Biometria!K506)</f>
        <v/>
      </c>
    </row>
    <row r="497" spans="1:11" x14ac:dyDescent="0.25">
      <c r="A497" s="62" t="str">
        <f>IF(LEN(B496)&gt;0,Biometria!A507,"")</f>
        <v/>
      </c>
      <c r="B497" s="62" t="str">
        <f>IF(LEN(Biometria!B507)=0,"",Biometria!B507)</f>
        <v/>
      </c>
      <c r="C497" s="62" t="str">
        <f>IF(Biometria!C507=0,"",Biometria!C507)</f>
        <v/>
      </c>
      <c r="D497" s="62" t="str">
        <f>IF(Biometria!D507=0,"",Biometria!D507)</f>
        <v/>
      </c>
      <c r="E497" s="62" t="str">
        <f>IF(Biometria!E507=0,"",Biometria!E507)</f>
        <v/>
      </c>
      <c r="F497" s="62" t="str">
        <f>IF(Biometria!F507=0,"",Biometria!F507)</f>
        <v/>
      </c>
      <c r="G497" s="62" t="str">
        <f>IF(Biometria!G507=0,"",Biometria!G507)</f>
        <v/>
      </c>
      <c r="H497" s="62" t="str">
        <f>IF(Biometria!H507=0,"",Biometria!H507)</f>
        <v/>
      </c>
      <c r="I497" s="62" t="str">
        <f>IF(Biometria!I507=0,"",Biometria!I507)</f>
        <v/>
      </c>
      <c r="J497" s="62" t="str">
        <f>IF(Biometria!J507=0,"",Biometria!J507)</f>
        <v/>
      </c>
      <c r="K497" s="62" t="str">
        <f>IF(Biometria!K507=0,"",Biometria!K507)</f>
        <v/>
      </c>
    </row>
    <row r="498" spans="1:11" x14ac:dyDescent="0.25">
      <c r="A498" s="62" t="str">
        <f>IF(LEN(B497)&gt;0,Biometria!A508,"")</f>
        <v/>
      </c>
      <c r="B498" s="62" t="str">
        <f>IF(LEN(Biometria!B508)=0,"",Biometria!B508)</f>
        <v/>
      </c>
      <c r="C498" s="62" t="str">
        <f>IF(Biometria!C508=0,"",Biometria!C508)</f>
        <v/>
      </c>
      <c r="D498" s="62" t="str">
        <f>IF(Biometria!D508=0,"",Biometria!D508)</f>
        <v/>
      </c>
      <c r="E498" s="62" t="str">
        <f>IF(Biometria!E508=0,"",Biometria!E508)</f>
        <v/>
      </c>
      <c r="F498" s="62" t="str">
        <f>IF(Biometria!F508=0,"",Biometria!F508)</f>
        <v/>
      </c>
      <c r="G498" s="62" t="str">
        <f>IF(Biometria!G508=0,"",Biometria!G508)</f>
        <v/>
      </c>
      <c r="H498" s="62" t="str">
        <f>IF(Biometria!H508=0,"",Biometria!H508)</f>
        <v/>
      </c>
      <c r="I498" s="62" t="str">
        <f>IF(Biometria!I508=0,"",Biometria!I508)</f>
        <v/>
      </c>
      <c r="J498" s="62" t="str">
        <f>IF(Biometria!J508=0,"",Biometria!J508)</f>
        <v/>
      </c>
      <c r="K498" s="62" t="str">
        <f>IF(Biometria!K508=0,"",Biometria!K508)</f>
        <v/>
      </c>
    </row>
    <row r="499" spans="1:11" x14ac:dyDescent="0.25">
      <c r="A499" s="62" t="str">
        <f>IF(LEN(B498)&gt;0,Biometria!A509,"")</f>
        <v/>
      </c>
      <c r="B499" s="62" t="str">
        <f>IF(LEN(Biometria!B509)=0,"",Biometria!B509)</f>
        <v/>
      </c>
      <c r="C499" s="62" t="str">
        <f>IF(Biometria!C509=0,"",Biometria!C509)</f>
        <v/>
      </c>
      <c r="D499" s="62" t="str">
        <f>IF(Biometria!D509=0,"",Biometria!D509)</f>
        <v/>
      </c>
      <c r="E499" s="62" t="str">
        <f>IF(Biometria!E509=0,"",Biometria!E509)</f>
        <v/>
      </c>
      <c r="F499" s="62" t="str">
        <f>IF(Biometria!F509=0,"",Biometria!F509)</f>
        <v/>
      </c>
      <c r="G499" s="62" t="str">
        <f>IF(Biometria!G509=0,"",Biometria!G509)</f>
        <v/>
      </c>
      <c r="H499" s="62" t="str">
        <f>IF(Biometria!H509=0,"",Biometria!H509)</f>
        <v/>
      </c>
      <c r="I499" s="62" t="str">
        <f>IF(Biometria!I509=0,"",Biometria!I509)</f>
        <v/>
      </c>
      <c r="J499" s="62" t="str">
        <f>IF(Biometria!J509=0,"",Biometria!J509)</f>
        <v/>
      </c>
      <c r="K499" s="62" t="str">
        <f>IF(Biometria!K509=0,"",Biometria!K509)</f>
        <v/>
      </c>
    </row>
    <row r="500" spans="1:11" x14ac:dyDescent="0.25">
      <c r="A500" s="62" t="str">
        <f>IF(LEN(B499)&gt;0,Biometria!A510,"")</f>
        <v/>
      </c>
      <c r="B500" s="62" t="str">
        <f>IF(LEN(Biometria!B510)=0,"",Biometria!B510)</f>
        <v/>
      </c>
      <c r="C500" s="62" t="str">
        <f>IF(Biometria!C510=0,"",Biometria!C510)</f>
        <v/>
      </c>
      <c r="D500" s="62" t="str">
        <f>IF(Biometria!D510=0,"",Biometria!D510)</f>
        <v/>
      </c>
      <c r="E500" s="62" t="str">
        <f>IF(Biometria!E510=0,"",Biometria!E510)</f>
        <v/>
      </c>
      <c r="F500" s="62" t="str">
        <f>IF(Biometria!F510=0,"",Biometria!F510)</f>
        <v/>
      </c>
      <c r="G500" s="62" t="str">
        <f>IF(Biometria!G510=0,"",Biometria!G510)</f>
        <v/>
      </c>
      <c r="H500" s="62" t="str">
        <f>IF(Biometria!H510=0,"",Biometria!H510)</f>
        <v/>
      </c>
      <c r="I500" s="62" t="str">
        <f>IF(Biometria!I510=0,"",Biometria!I510)</f>
        <v/>
      </c>
      <c r="J500" s="62" t="str">
        <f>IF(Biometria!J510=0,"",Biometria!J510)</f>
        <v/>
      </c>
      <c r="K500" s="62" t="str">
        <f>IF(Biometria!K510=0,"",Biometria!K510)</f>
        <v/>
      </c>
    </row>
    <row r="501" spans="1:11" x14ac:dyDescent="0.25">
      <c r="A501" s="62" t="str">
        <f>IF(LEN(B500)&gt;0,Biometria!A511,"")</f>
        <v/>
      </c>
      <c r="B501" s="62" t="str">
        <f>IF(LEN(Biometria!B511)=0,"",Biometria!B511)</f>
        <v/>
      </c>
      <c r="C501" s="62" t="str">
        <f>IF(Biometria!C511=0,"",Biometria!C511)</f>
        <v/>
      </c>
      <c r="D501" s="62" t="str">
        <f>IF(Biometria!D511=0,"",Biometria!D511)</f>
        <v/>
      </c>
      <c r="E501" s="62" t="str">
        <f>IF(Biometria!E511=0,"",Biometria!E511)</f>
        <v/>
      </c>
      <c r="F501" s="62" t="str">
        <f>IF(Biometria!F511=0,"",Biometria!F511)</f>
        <v/>
      </c>
      <c r="G501" s="62" t="str">
        <f>IF(Biometria!G511=0,"",Biometria!G511)</f>
        <v/>
      </c>
      <c r="H501" s="62" t="str">
        <f>IF(Biometria!H511=0,"",Biometria!H511)</f>
        <v/>
      </c>
      <c r="I501" s="62" t="str">
        <f>IF(Biometria!I511=0,"",Biometria!I511)</f>
        <v/>
      </c>
      <c r="J501" s="62" t="str">
        <f>IF(Biometria!J511=0,"",Biometria!J511)</f>
        <v/>
      </c>
      <c r="K501" s="62" t="str">
        <f>IF(Biometria!K511=0,"",Biometria!K511)</f>
        <v/>
      </c>
    </row>
  </sheetData>
  <sheetProtection selectLockedCells="1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7DC89-A8B2-48DA-80F3-0A37B85E3A54}">
  <sheetPr codeName="Planilha5"/>
  <dimension ref="A1:EM1"/>
  <sheetViews>
    <sheetView showGridLines="0" showRowColHeaders="0" zoomScale="95" zoomScaleNormal="95" workbookViewId="0">
      <selection activeCell="A2" sqref="A2:EM2"/>
    </sheetView>
  </sheetViews>
  <sheetFormatPr defaultRowHeight="15" x14ac:dyDescent="0.25"/>
  <cols>
    <col min="1" max="1" width="25.85546875" bestFit="1" customWidth="1"/>
    <col min="2" max="2" width="13.85546875" bestFit="1" customWidth="1"/>
    <col min="4" max="4" width="10.42578125" bestFit="1" customWidth="1"/>
    <col min="8" max="9" width="10.7109375" style="3" bestFit="1" customWidth="1"/>
    <col min="11" max="11" width="11.7109375" bestFit="1" customWidth="1"/>
    <col min="18" max="18" width="12.7109375" bestFit="1" customWidth="1"/>
    <col min="19" max="19" width="11.140625" bestFit="1" customWidth="1"/>
    <col min="20" max="20" width="9.85546875" bestFit="1" customWidth="1"/>
    <col min="139" max="139" width="10.7109375" style="3" bestFit="1" customWidth="1"/>
  </cols>
  <sheetData>
    <row r="1" spans="1:143" x14ac:dyDescent="0.25">
      <c r="A1" t="s">
        <v>730</v>
      </c>
      <c r="B1" t="s">
        <v>5</v>
      </c>
      <c r="C1" t="s">
        <v>640</v>
      </c>
      <c r="D1" t="s">
        <v>641</v>
      </c>
      <c r="E1" t="s">
        <v>642</v>
      </c>
      <c r="F1" t="s">
        <v>487</v>
      </c>
      <c r="G1" t="s">
        <v>643</v>
      </c>
      <c r="H1" t="s">
        <v>644</v>
      </c>
      <c r="I1" t="s">
        <v>645</v>
      </c>
      <c r="J1" t="s">
        <v>646</v>
      </c>
      <c r="K1" t="s">
        <v>647</v>
      </c>
      <c r="L1" t="s">
        <v>648</v>
      </c>
      <c r="M1" t="s">
        <v>649</v>
      </c>
      <c r="N1" t="s">
        <v>650</v>
      </c>
      <c r="O1" t="s">
        <v>651</v>
      </c>
      <c r="P1" t="s">
        <v>652</v>
      </c>
      <c r="Q1" t="s">
        <v>653</v>
      </c>
      <c r="R1" t="s">
        <v>734</v>
      </c>
      <c r="S1" t="s">
        <v>745</v>
      </c>
      <c r="T1" t="s">
        <v>735</v>
      </c>
      <c r="U1" t="s">
        <v>733</v>
      </c>
      <c r="V1" t="s">
        <v>499</v>
      </c>
      <c r="W1" t="s">
        <v>500</v>
      </c>
      <c r="X1" t="s">
        <v>501</v>
      </c>
      <c r="Y1" t="s">
        <v>502</v>
      </c>
      <c r="Z1" t="s">
        <v>503</v>
      </c>
      <c r="AA1" t="s">
        <v>504</v>
      </c>
      <c r="AB1" t="s">
        <v>505</v>
      </c>
      <c r="AC1" t="s">
        <v>506</v>
      </c>
      <c r="AD1" t="s">
        <v>507</v>
      </c>
      <c r="AE1" t="s">
        <v>508</v>
      </c>
      <c r="AF1" t="s">
        <v>509</v>
      </c>
      <c r="AG1" t="s">
        <v>510</v>
      </c>
      <c r="AH1" t="s">
        <v>511</v>
      </c>
      <c r="AI1" t="s">
        <v>248</v>
      </c>
      <c r="AJ1" t="s">
        <v>512</v>
      </c>
      <c r="AK1" t="s">
        <v>513</v>
      </c>
      <c r="AL1" t="s">
        <v>514</v>
      </c>
      <c r="AM1" t="s">
        <v>515</v>
      </c>
      <c r="AN1" t="s">
        <v>516</v>
      </c>
      <c r="AO1" t="s">
        <v>517</v>
      </c>
      <c r="AP1" t="s">
        <v>518</v>
      </c>
      <c r="AQ1" t="s">
        <v>519</v>
      </c>
      <c r="AR1" t="s">
        <v>520</v>
      </c>
      <c r="AS1" t="s">
        <v>521</v>
      </c>
      <c r="AT1" t="s">
        <v>522</v>
      </c>
      <c r="AU1" t="s">
        <v>523</v>
      </c>
      <c r="AV1" t="s">
        <v>524</v>
      </c>
      <c r="AW1" t="s">
        <v>525</v>
      </c>
      <c r="AX1" t="s">
        <v>288</v>
      </c>
      <c r="AY1" t="s">
        <v>526</v>
      </c>
      <c r="AZ1" t="s">
        <v>527</v>
      </c>
      <c r="BA1" t="s">
        <v>528</v>
      </c>
      <c r="BB1" t="s">
        <v>529</v>
      </c>
      <c r="BC1" t="s">
        <v>530</v>
      </c>
      <c r="BD1" t="s">
        <v>531</v>
      </c>
      <c r="BE1" t="s">
        <v>532</v>
      </c>
      <c r="BF1" t="s">
        <v>533</v>
      </c>
      <c r="BG1" t="s">
        <v>534</v>
      </c>
      <c r="BH1" t="s">
        <v>535</v>
      </c>
      <c r="BI1" t="s">
        <v>536</v>
      </c>
      <c r="BJ1" t="s">
        <v>537</v>
      </c>
      <c r="BK1" t="s">
        <v>538</v>
      </c>
      <c r="BL1" t="s">
        <v>539</v>
      </c>
      <c r="BM1" t="s">
        <v>540</v>
      </c>
      <c r="BN1" t="s">
        <v>541</v>
      </c>
      <c r="BO1" t="s">
        <v>542</v>
      </c>
      <c r="BP1" t="s">
        <v>543</v>
      </c>
      <c r="BQ1" t="s">
        <v>544</v>
      </c>
      <c r="BR1" t="s">
        <v>545</v>
      </c>
      <c r="BS1" t="s">
        <v>546</v>
      </c>
      <c r="BT1" t="s">
        <v>547</v>
      </c>
      <c r="BU1" t="s">
        <v>548</v>
      </c>
      <c r="BV1" t="s">
        <v>549</v>
      </c>
      <c r="BW1" t="s">
        <v>550</v>
      </c>
      <c r="BX1" t="s">
        <v>551</v>
      </c>
      <c r="BY1" t="s">
        <v>552</v>
      </c>
      <c r="BZ1" t="s">
        <v>553</v>
      </c>
      <c r="CA1" t="s">
        <v>554</v>
      </c>
      <c r="CB1" t="s">
        <v>555</v>
      </c>
      <c r="CC1" t="s">
        <v>556</v>
      </c>
      <c r="CD1" t="s">
        <v>557</v>
      </c>
      <c r="CE1" t="s">
        <v>558</v>
      </c>
      <c r="CF1" t="s">
        <v>559</v>
      </c>
      <c r="CG1" t="s">
        <v>560</v>
      </c>
      <c r="CH1" t="s">
        <v>561</v>
      </c>
      <c r="CI1" t="s">
        <v>562</v>
      </c>
      <c r="CJ1" t="s">
        <v>563</v>
      </c>
      <c r="CK1" t="s">
        <v>564</v>
      </c>
      <c r="CL1" t="s">
        <v>565</v>
      </c>
      <c r="CM1" t="s">
        <v>566</v>
      </c>
      <c r="CN1" t="s">
        <v>567</v>
      </c>
      <c r="CO1" t="s">
        <v>568</v>
      </c>
      <c r="CP1" t="s">
        <v>569</v>
      </c>
      <c r="CQ1" t="s">
        <v>570</v>
      </c>
      <c r="CR1" t="s">
        <v>571</v>
      </c>
      <c r="CS1" t="s">
        <v>572</v>
      </c>
      <c r="CT1" t="s">
        <v>573</v>
      </c>
      <c r="CU1" t="s">
        <v>574</v>
      </c>
      <c r="CV1" t="s">
        <v>575</v>
      </c>
      <c r="CW1" t="s">
        <v>576</v>
      </c>
      <c r="CX1" t="s">
        <v>577</v>
      </c>
      <c r="CY1" t="s">
        <v>578</v>
      </c>
      <c r="CZ1" t="s">
        <v>579</v>
      </c>
      <c r="DA1" t="s">
        <v>580</v>
      </c>
      <c r="DB1" t="s">
        <v>581</v>
      </c>
      <c r="DC1" t="s">
        <v>582</v>
      </c>
      <c r="DD1" t="s">
        <v>583</v>
      </c>
      <c r="DE1" t="s">
        <v>584</v>
      </c>
      <c r="DF1" t="s">
        <v>585</v>
      </c>
      <c r="DG1" t="s">
        <v>586</v>
      </c>
      <c r="DH1" t="s">
        <v>587</v>
      </c>
      <c r="DI1" t="s">
        <v>588</v>
      </c>
      <c r="DJ1" t="s">
        <v>589</v>
      </c>
      <c r="DK1" t="s">
        <v>590</v>
      </c>
      <c r="DL1" t="s">
        <v>591</v>
      </c>
      <c r="DM1" t="s">
        <v>592</v>
      </c>
      <c r="DN1" t="s">
        <v>593</v>
      </c>
      <c r="DO1" t="s">
        <v>594</v>
      </c>
      <c r="DP1" t="s">
        <v>595</v>
      </c>
      <c r="DQ1" t="s">
        <v>596</v>
      </c>
      <c r="DR1" t="s">
        <v>597</v>
      </c>
      <c r="DS1" t="s">
        <v>598</v>
      </c>
      <c r="DT1" t="s">
        <v>599</v>
      </c>
      <c r="DU1" t="s">
        <v>600</v>
      </c>
      <c r="DV1" t="s">
        <v>601</v>
      </c>
      <c r="DW1" t="s">
        <v>602</v>
      </c>
      <c r="DX1" t="s">
        <v>603</v>
      </c>
      <c r="DY1" t="s">
        <v>604</v>
      </c>
      <c r="DZ1" t="s">
        <v>605</v>
      </c>
      <c r="EA1" t="s">
        <v>606</v>
      </c>
      <c r="EB1" t="s">
        <v>607</v>
      </c>
      <c r="EC1" t="s">
        <v>608</v>
      </c>
      <c r="ED1" t="s">
        <v>609</v>
      </c>
      <c r="EE1" t="s">
        <v>610</v>
      </c>
      <c r="EF1" t="s">
        <v>611</v>
      </c>
      <c r="EG1" t="s">
        <v>612</v>
      </c>
      <c r="EH1" t="s">
        <v>613</v>
      </c>
      <c r="EI1" t="s">
        <v>614</v>
      </c>
      <c r="EJ1" t="s">
        <v>654</v>
      </c>
      <c r="EK1" t="s">
        <v>655</v>
      </c>
      <c r="EL1" t="s">
        <v>656</v>
      </c>
      <c r="EM1" t="s">
        <v>729</v>
      </c>
    </row>
  </sheetData>
  <sheetProtection selectLockedCells="1"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F8BC3-BB22-47AA-90EA-1DD0B2334BFD}">
  <sheetPr codeName="Planilha7"/>
  <dimension ref="A1:K2"/>
  <sheetViews>
    <sheetView showGridLines="0" showRowColHeaders="0" zoomScale="95" zoomScaleNormal="95" workbookViewId="0"/>
  </sheetViews>
  <sheetFormatPr defaultRowHeight="15" x14ac:dyDescent="0.25"/>
  <cols>
    <col min="1" max="1" width="16.42578125" bestFit="1" customWidth="1"/>
    <col min="2" max="2" width="7.7109375" bestFit="1" customWidth="1"/>
    <col min="3" max="3" width="22.7109375" bestFit="1" customWidth="1"/>
    <col min="4" max="4" width="24.7109375" bestFit="1" customWidth="1"/>
    <col min="5" max="5" width="12.7109375" bestFit="1" customWidth="1"/>
    <col min="6" max="6" width="17.5703125" bestFit="1" customWidth="1"/>
    <col min="7" max="7" width="5.28515625" bestFit="1" customWidth="1"/>
    <col min="8" max="8" width="20" bestFit="1" customWidth="1"/>
    <col min="9" max="9" width="7.28515625" bestFit="1" customWidth="1"/>
    <col min="10" max="10" width="7.7109375" bestFit="1" customWidth="1"/>
    <col min="11" max="11" width="9.5703125" bestFit="1" customWidth="1"/>
  </cols>
  <sheetData>
    <row r="1" spans="1:11" s="60" customFormat="1" x14ac:dyDescent="0.25">
      <c r="A1" s="60" t="s">
        <v>617</v>
      </c>
      <c r="B1" s="60" t="s">
        <v>14</v>
      </c>
      <c r="C1" s="60" t="s">
        <v>618</v>
      </c>
      <c r="D1" s="60" t="s">
        <v>619</v>
      </c>
      <c r="E1" s="60" t="s">
        <v>620</v>
      </c>
      <c r="F1" s="60" t="s">
        <v>817</v>
      </c>
      <c r="G1" s="60" t="s">
        <v>621</v>
      </c>
      <c r="H1" s="60" t="s">
        <v>622</v>
      </c>
      <c r="I1" s="60" t="s">
        <v>623</v>
      </c>
      <c r="J1" s="60" t="s">
        <v>624</v>
      </c>
      <c r="K1" s="60" t="s">
        <v>625</v>
      </c>
    </row>
    <row r="2" spans="1:11" s="60" customFormat="1" x14ac:dyDescent="0.25"/>
  </sheetData>
  <sheetProtection selectLockedCell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Ficha de desembarque</vt:lpstr>
      <vt:lpstr>Novos cadastros</vt:lpstr>
      <vt:lpstr>Biometria</vt:lpstr>
      <vt:lpstr>Formatar_Desembarque</vt:lpstr>
      <vt:lpstr>Banco de dados</vt:lpstr>
      <vt:lpstr>Formatar_NovosCadastros</vt:lpstr>
      <vt:lpstr>Formatar_Biometria</vt:lpstr>
      <vt:lpstr>Exportar_Desembarque</vt:lpstr>
      <vt:lpstr>Exportar_Biometria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Vasconcelos</dc:creator>
  <cp:lastModifiedBy>samsung</cp:lastModifiedBy>
  <dcterms:created xsi:type="dcterms:W3CDTF">2020-05-29T16:42:40Z</dcterms:created>
  <dcterms:modified xsi:type="dcterms:W3CDTF">2022-03-17T16:04:31Z</dcterms:modified>
</cp:coreProperties>
</file>